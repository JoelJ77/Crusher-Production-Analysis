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A001FC8-9AB8-4214-82D3-6277952EBE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-Issue out" sheetId="1" r:id="rId1"/>
    <sheet name="April-24sept" sheetId="5" r:id="rId2"/>
    <sheet name="Data Visualization" sheetId="9" r:id="rId3"/>
  </sheets>
  <definedNames>
    <definedName name="_xlchart.v1.0" hidden="1">'April-24sept'!$EO$1</definedName>
    <definedName name="_xlchart.v1.1" hidden="1">'April-24sept'!$EO$2:$EO$7</definedName>
    <definedName name="_xlchart.v1.10" hidden="1">'April-24sept'!$EP$1</definedName>
    <definedName name="_xlchart.v1.11" hidden="1">'April-24sept'!$EP$2:$EP$7</definedName>
    <definedName name="_xlchart.v1.12" hidden="1">'April-24sept'!$EQ$1</definedName>
    <definedName name="_xlchart.v1.13" hidden="1">'April-24sept'!$EQ$2:$EQ$7</definedName>
    <definedName name="_xlchart.v1.14" hidden="1">'April-24sept'!$ER$1</definedName>
    <definedName name="_xlchart.v1.15" hidden="1">'April-24sept'!$ER$2:$ER$7</definedName>
    <definedName name="_xlchart.v1.2" hidden="1">'April-24sept'!$EP$1</definedName>
    <definedName name="_xlchart.v1.3" hidden="1">'April-24sept'!$EP$2:$EP$7</definedName>
    <definedName name="_xlchart.v1.4" hidden="1">'April-24sept'!$EQ$1</definedName>
    <definedName name="_xlchart.v1.5" hidden="1">'April-24sept'!$EQ$2:$EQ$7</definedName>
    <definedName name="_xlchart.v1.6" hidden="1">'April-24sept'!$ER$1</definedName>
    <definedName name="_xlchart.v1.7" hidden="1">'April-24sept'!$ER$2:$ER$7</definedName>
    <definedName name="_xlchart.v1.8" hidden="1">'April-24sept'!$EO$1</definedName>
    <definedName name="_xlchart.v1.9" hidden="1">'April-24sept'!$EO$2:$EO$7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R3" i="5" l="1"/>
  <c r="ER4" i="5"/>
  <c r="ER5" i="5"/>
  <c r="ER6" i="5"/>
  <c r="ER7" i="5"/>
  <c r="ER8" i="5"/>
  <c r="ER2" i="5"/>
  <c r="EQ3" i="5"/>
  <c r="EQ4" i="5"/>
  <c r="EQ5" i="5"/>
  <c r="EQ6" i="5"/>
  <c r="EQ7" i="5"/>
  <c r="EQ2" i="5"/>
  <c r="EP3" i="5"/>
  <c r="EP4" i="5"/>
  <c r="EP5" i="5"/>
  <c r="EP6" i="5"/>
  <c r="EP7" i="5"/>
  <c r="EP2" i="5"/>
  <c r="EO2" i="5"/>
  <c r="EO7" i="5"/>
  <c r="EO4" i="5"/>
  <c r="EO3" i="5"/>
  <c r="EO5" i="5"/>
  <c r="EO6" i="5"/>
  <c r="EM8" i="5"/>
  <c r="EL8" i="5"/>
  <c r="EK8" i="5"/>
  <c r="EJ8" i="5"/>
  <c r="EG8" i="5"/>
  <c r="EF8" i="5"/>
  <c r="EE8" i="5"/>
  <c r="ED8" i="5"/>
  <c r="EA8" i="5"/>
  <c r="DZ8" i="5"/>
  <c r="DY8" i="5"/>
  <c r="DX8" i="5"/>
  <c r="DU8" i="5"/>
  <c r="DT8" i="5"/>
  <c r="DS8" i="5"/>
  <c r="DR8" i="5"/>
  <c r="DO8" i="5"/>
  <c r="DN8" i="5"/>
  <c r="DM8" i="5"/>
  <c r="DL8" i="5"/>
  <c r="DI8" i="5"/>
  <c r="DH8" i="5"/>
  <c r="DG8" i="5"/>
  <c r="DF8" i="5"/>
  <c r="DC8" i="5"/>
  <c r="DB8" i="5"/>
  <c r="DA8" i="5"/>
  <c r="CZ8" i="5"/>
  <c r="CW8" i="5"/>
  <c r="CV8" i="5"/>
  <c r="CU8" i="5"/>
  <c r="CT8" i="5"/>
  <c r="CQ8" i="5"/>
  <c r="CP8" i="5"/>
  <c r="CO8" i="5"/>
  <c r="CN8" i="5"/>
  <c r="CK8" i="5"/>
  <c r="CJ8" i="5"/>
  <c r="CI8" i="5"/>
  <c r="CH8" i="5"/>
  <c r="CE8" i="5"/>
  <c r="CD8" i="5"/>
  <c r="CC8" i="5"/>
  <c r="CB8" i="5"/>
  <c r="BY8" i="5"/>
  <c r="BX8" i="5"/>
  <c r="BW8" i="5"/>
  <c r="BV8" i="5"/>
  <c r="BS8" i="5"/>
  <c r="BR8" i="5"/>
  <c r="BQ8" i="5"/>
  <c r="BP8" i="5"/>
  <c r="BM8" i="5"/>
  <c r="BL8" i="5"/>
  <c r="BK8" i="5"/>
  <c r="BJ8" i="5"/>
  <c r="BG8" i="5"/>
  <c r="BF8" i="5"/>
  <c r="BE8" i="5"/>
  <c r="BD8" i="5"/>
  <c r="BA8" i="5"/>
  <c r="AZ8" i="5"/>
  <c r="AY8" i="5"/>
  <c r="AX8" i="5"/>
  <c r="AU8" i="5"/>
  <c r="AT8" i="5"/>
  <c r="AS8" i="5"/>
  <c r="AR8" i="5"/>
  <c r="AO8" i="5"/>
  <c r="AN8" i="5"/>
  <c r="AM8" i="5"/>
  <c r="AL8" i="5"/>
  <c r="AI8" i="5"/>
  <c r="AH8" i="5"/>
  <c r="AG8" i="5"/>
  <c r="AF8" i="5"/>
  <c r="AC8" i="5"/>
  <c r="AB8" i="5"/>
  <c r="AA8" i="5"/>
  <c r="Z8" i="5"/>
  <c r="W8" i="5"/>
  <c r="V8" i="5"/>
  <c r="U8" i="5"/>
  <c r="T8" i="5"/>
  <c r="Q8" i="5"/>
  <c r="P8" i="5"/>
  <c r="O8" i="5"/>
  <c r="N8" i="5"/>
  <c r="K8" i="5"/>
  <c r="J8" i="5"/>
  <c r="I8" i="5"/>
  <c r="H8" i="5"/>
  <c r="E8" i="5"/>
  <c r="EO8" i="5" s="1"/>
  <c r="D8" i="5"/>
  <c r="C8" i="5"/>
  <c r="EQ8" i="5" s="1"/>
  <c r="B8" i="5"/>
  <c r="EP8" i="5" s="1"/>
  <c r="EN7" i="5"/>
  <c r="EH7" i="5"/>
  <c r="EB7" i="5"/>
  <c r="DV7" i="5"/>
  <c r="DP7" i="5"/>
  <c r="DJ7" i="5"/>
  <c r="DD7" i="5"/>
  <c r="CX7" i="5"/>
  <c r="CR7" i="5"/>
  <c r="CL7" i="5"/>
  <c r="CF7" i="5"/>
  <c r="BZ7" i="5"/>
  <c r="BT7" i="5"/>
  <c r="BN7" i="5"/>
  <c r="BH7" i="5"/>
  <c r="BB7" i="5"/>
  <c r="AV7" i="5"/>
  <c r="AP7" i="5"/>
  <c r="AJ7" i="5"/>
  <c r="AD7" i="5"/>
  <c r="X7" i="5"/>
  <c r="R7" i="5"/>
  <c r="L7" i="5"/>
  <c r="F7" i="5"/>
  <c r="EN6" i="5"/>
  <c r="EH6" i="5"/>
  <c r="EB6" i="5"/>
  <c r="DV6" i="5"/>
  <c r="DP6" i="5"/>
  <c r="DJ6" i="5"/>
  <c r="DD6" i="5"/>
  <c r="CX6" i="5"/>
  <c r="CR6" i="5"/>
  <c r="CL6" i="5"/>
  <c r="CF6" i="5"/>
  <c r="BZ6" i="5"/>
  <c r="BT6" i="5"/>
  <c r="BN6" i="5"/>
  <c r="BH6" i="5"/>
  <c r="BB6" i="5"/>
  <c r="AV6" i="5"/>
  <c r="AP6" i="5"/>
  <c r="AJ6" i="5"/>
  <c r="AD6" i="5"/>
  <c r="X6" i="5"/>
  <c r="R6" i="5"/>
  <c r="L6" i="5"/>
  <c r="F6" i="5"/>
  <c r="EN5" i="5"/>
  <c r="EH5" i="5"/>
  <c r="EB5" i="5"/>
  <c r="DV5" i="5"/>
  <c r="DP5" i="5"/>
  <c r="DJ5" i="5"/>
  <c r="DD5" i="5"/>
  <c r="CX5" i="5"/>
  <c r="CR5" i="5"/>
  <c r="CL5" i="5"/>
  <c r="CF5" i="5"/>
  <c r="BZ5" i="5"/>
  <c r="BT5" i="5"/>
  <c r="BN5" i="5"/>
  <c r="BH5" i="5"/>
  <c r="BB5" i="5"/>
  <c r="AV5" i="5"/>
  <c r="AP5" i="5"/>
  <c r="AJ5" i="5"/>
  <c r="AD5" i="5"/>
  <c r="X5" i="5"/>
  <c r="R5" i="5"/>
  <c r="L5" i="5"/>
  <c r="F5" i="5"/>
  <c r="EN4" i="5"/>
  <c r="EH4" i="5"/>
  <c r="EB4" i="5"/>
  <c r="DV4" i="5"/>
  <c r="DP4" i="5"/>
  <c r="DJ4" i="5"/>
  <c r="DD4" i="5"/>
  <c r="CX4" i="5"/>
  <c r="CR4" i="5"/>
  <c r="CL4" i="5"/>
  <c r="CF4" i="5"/>
  <c r="BZ4" i="5"/>
  <c r="BT4" i="5"/>
  <c r="BN4" i="5"/>
  <c r="BH4" i="5"/>
  <c r="BB4" i="5"/>
  <c r="AV4" i="5"/>
  <c r="AP4" i="5"/>
  <c r="AJ4" i="5"/>
  <c r="AD4" i="5"/>
  <c r="X4" i="5"/>
  <c r="R4" i="5"/>
  <c r="L4" i="5"/>
  <c r="F4" i="5"/>
  <c r="EN3" i="5"/>
  <c r="EH3" i="5"/>
  <c r="EB3" i="5"/>
  <c r="DV3" i="5"/>
  <c r="DP3" i="5"/>
  <c r="DJ3" i="5"/>
  <c r="DD3" i="5"/>
  <c r="CX3" i="5"/>
  <c r="CR3" i="5"/>
  <c r="CL3" i="5"/>
  <c r="CF3" i="5"/>
  <c r="BZ3" i="5"/>
  <c r="BT3" i="5"/>
  <c r="BN3" i="5"/>
  <c r="BH3" i="5"/>
  <c r="BB3" i="5"/>
  <c r="AV3" i="5"/>
  <c r="AP3" i="5"/>
  <c r="AJ3" i="5"/>
  <c r="AD3" i="5"/>
  <c r="X3" i="5"/>
  <c r="R3" i="5"/>
  <c r="L3" i="5"/>
  <c r="F3" i="5"/>
  <c r="EN2" i="5"/>
  <c r="EH2" i="5"/>
  <c r="EB2" i="5"/>
  <c r="DV2" i="5"/>
  <c r="DP2" i="5"/>
  <c r="DJ2" i="5"/>
  <c r="DD2" i="5"/>
  <c r="CX2" i="5"/>
  <c r="CR2" i="5"/>
  <c r="CL2" i="5"/>
  <c r="CF2" i="5"/>
  <c r="BZ2" i="5"/>
  <c r="BT2" i="5"/>
  <c r="BN2" i="5"/>
  <c r="BH2" i="5"/>
  <c r="BB2" i="5"/>
  <c r="AV2" i="5"/>
  <c r="AP2" i="5"/>
  <c r="AJ2" i="5"/>
  <c r="AD2" i="5"/>
  <c r="X2" i="5"/>
  <c r="R2" i="5"/>
  <c r="L2" i="5"/>
  <c r="F2" i="5"/>
  <c r="L195" i="1"/>
  <c r="Q198" i="1"/>
  <c r="Q197" i="1"/>
  <c r="R197" i="1" s="1"/>
  <c r="Q196" i="1"/>
  <c r="R196" i="1" s="1"/>
  <c r="Q195" i="1"/>
  <c r="R195" i="1" s="1"/>
  <c r="G199" i="1"/>
  <c r="F199" i="1"/>
  <c r="E199" i="1"/>
  <c r="D199" i="1"/>
  <c r="C199" i="1"/>
  <c r="B199" i="1"/>
  <c r="R198" i="1"/>
  <c r="H198" i="1"/>
  <c r="H197" i="1"/>
  <c r="H196" i="1"/>
  <c r="H195" i="1"/>
  <c r="R182" i="1"/>
  <c r="Q182" i="1"/>
  <c r="R190" i="1"/>
  <c r="Q189" i="1"/>
  <c r="R189" i="1" s="1"/>
  <c r="N188" i="1"/>
  <c r="P179" i="1"/>
  <c r="Q179" i="1" s="1"/>
  <c r="R179" i="1" s="1"/>
  <c r="O179" i="1"/>
  <c r="Q188" i="1"/>
  <c r="R188" i="1" s="1"/>
  <c r="Q187" i="1"/>
  <c r="R187" i="1" s="1"/>
  <c r="G191" i="1"/>
  <c r="F191" i="1"/>
  <c r="E191" i="1"/>
  <c r="D191" i="1"/>
  <c r="C191" i="1"/>
  <c r="B191" i="1"/>
  <c r="Q190" i="1"/>
  <c r="H190" i="1"/>
  <c r="H189" i="1"/>
  <c r="H188" i="1"/>
  <c r="H187" i="1"/>
  <c r="O180" i="1"/>
  <c r="G183" i="1"/>
  <c r="F183" i="1"/>
  <c r="E183" i="1"/>
  <c r="D183" i="1"/>
  <c r="C183" i="1"/>
  <c r="B183" i="1"/>
  <c r="H182" i="1"/>
  <c r="Q181" i="1"/>
  <c r="R181" i="1" s="1"/>
  <c r="H181" i="1"/>
  <c r="Q180" i="1"/>
  <c r="R180" i="1" s="1"/>
  <c r="H180" i="1"/>
  <c r="H179" i="1"/>
  <c r="M171" i="1"/>
  <c r="Q171" i="1" s="1"/>
  <c r="R171" i="1" s="1"/>
  <c r="G175" i="1"/>
  <c r="F175" i="1"/>
  <c r="E175" i="1"/>
  <c r="D175" i="1"/>
  <c r="C175" i="1"/>
  <c r="B175" i="1"/>
  <c r="Q174" i="1"/>
  <c r="R174" i="1" s="1"/>
  <c r="H174" i="1"/>
  <c r="Q173" i="1"/>
  <c r="R173" i="1" s="1"/>
  <c r="H173" i="1"/>
  <c r="Q172" i="1"/>
  <c r="R172" i="1" s="1"/>
  <c r="H172" i="1"/>
  <c r="H171" i="1"/>
  <c r="N163" i="1"/>
  <c r="Q163" i="1" s="1"/>
  <c r="R163" i="1" s="1"/>
  <c r="Q166" i="1"/>
  <c r="R166" i="1" s="1"/>
  <c r="Q165" i="1"/>
  <c r="R165" i="1" s="1"/>
  <c r="G167" i="1"/>
  <c r="F167" i="1"/>
  <c r="E167" i="1"/>
  <c r="D167" i="1"/>
  <c r="C167" i="1"/>
  <c r="B167" i="1"/>
  <c r="H166" i="1"/>
  <c r="H165" i="1"/>
  <c r="Q164" i="1"/>
  <c r="R164" i="1" s="1"/>
  <c r="H164" i="1"/>
  <c r="H163" i="1"/>
  <c r="G159" i="1"/>
  <c r="F159" i="1"/>
  <c r="E159" i="1"/>
  <c r="D159" i="1"/>
  <c r="C159" i="1"/>
  <c r="B159" i="1"/>
  <c r="Q158" i="1"/>
  <c r="R158" i="1" s="1"/>
  <c r="H158" i="1"/>
  <c r="Q157" i="1"/>
  <c r="R157" i="1" s="1"/>
  <c r="H157" i="1"/>
  <c r="Q156" i="1"/>
  <c r="R156" i="1" s="1"/>
  <c r="H156" i="1"/>
  <c r="Q155" i="1"/>
  <c r="R155" i="1" s="1"/>
  <c r="H155" i="1"/>
  <c r="Q149" i="1"/>
  <c r="R149" i="1" s="1"/>
  <c r="B151" i="1"/>
  <c r="C151" i="1"/>
  <c r="D151" i="1"/>
  <c r="E151" i="1"/>
  <c r="F151" i="1"/>
  <c r="G151" i="1"/>
  <c r="Q150" i="1"/>
  <c r="R150" i="1" s="1"/>
  <c r="H150" i="1"/>
  <c r="H149" i="1"/>
  <c r="Q148" i="1"/>
  <c r="R148" i="1" s="1"/>
  <c r="H148" i="1"/>
  <c r="Q147" i="1"/>
  <c r="R147" i="1" s="1"/>
  <c r="H147" i="1"/>
  <c r="G23" i="1"/>
  <c r="F23" i="1"/>
  <c r="E23" i="1"/>
  <c r="D23" i="1"/>
  <c r="C23" i="1"/>
  <c r="B23" i="1"/>
  <c r="D15" i="1"/>
  <c r="C15" i="1"/>
  <c r="E15" i="1"/>
  <c r="F15" i="1"/>
  <c r="G15" i="1"/>
  <c r="B15" i="1"/>
  <c r="Q53" i="1"/>
  <c r="R53" i="1" s="1"/>
  <c r="Q139" i="1"/>
  <c r="R139" i="1" s="1"/>
  <c r="G143" i="1"/>
  <c r="F143" i="1"/>
  <c r="E143" i="1"/>
  <c r="D143" i="1"/>
  <c r="C143" i="1"/>
  <c r="B143" i="1"/>
  <c r="Q142" i="1"/>
  <c r="R142" i="1" s="1"/>
  <c r="H142" i="1"/>
  <c r="Q141" i="1"/>
  <c r="R141" i="1" s="1"/>
  <c r="H141" i="1"/>
  <c r="Q140" i="1"/>
  <c r="R140" i="1" s="1"/>
  <c r="H140" i="1"/>
  <c r="H139" i="1"/>
  <c r="M131" i="1"/>
  <c r="Q131" i="1" l="1"/>
  <c r="R131" i="1" s="1"/>
  <c r="H134" i="1"/>
  <c r="H133" i="1"/>
  <c r="H131" i="1"/>
  <c r="Q134" i="1"/>
  <c r="R134" i="1" s="1"/>
  <c r="Q133" i="1"/>
  <c r="R133" i="1" s="1"/>
  <c r="Q132" i="1"/>
  <c r="R132" i="1" s="1"/>
  <c r="Q124" i="1"/>
  <c r="G135" i="1"/>
  <c r="F135" i="1"/>
  <c r="E135" i="1"/>
  <c r="D135" i="1"/>
  <c r="C135" i="1"/>
  <c r="B135" i="1"/>
  <c r="H132" i="1"/>
  <c r="O123" i="1"/>
  <c r="N123" i="1" l="1"/>
  <c r="Q123" i="1" s="1"/>
  <c r="R123" i="1" s="1"/>
  <c r="G127" i="1"/>
  <c r="F127" i="1"/>
  <c r="E127" i="1"/>
  <c r="D127" i="1"/>
  <c r="C127" i="1"/>
  <c r="B127" i="1"/>
  <c r="Q126" i="1"/>
  <c r="R126" i="1" s="1"/>
  <c r="H126" i="1"/>
  <c r="Q125" i="1"/>
  <c r="R125" i="1" s="1"/>
  <c r="H125" i="1"/>
  <c r="R124" i="1"/>
  <c r="H124" i="1"/>
  <c r="H123" i="1"/>
  <c r="Q115" i="1"/>
  <c r="R115" i="1" s="1"/>
  <c r="Q116" i="1"/>
  <c r="N107" i="1" l="1"/>
  <c r="M107" i="1"/>
  <c r="K107" i="1"/>
  <c r="P98" i="1"/>
  <c r="G119" i="1"/>
  <c r="F119" i="1"/>
  <c r="E119" i="1"/>
  <c r="D119" i="1"/>
  <c r="C119" i="1"/>
  <c r="B119" i="1"/>
  <c r="Q118" i="1"/>
  <c r="H118" i="1"/>
  <c r="Q117" i="1"/>
  <c r="H117" i="1"/>
  <c r="R116" i="1"/>
  <c r="H116" i="1"/>
  <c r="H115" i="1"/>
  <c r="O107" i="1"/>
  <c r="N98" i="1"/>
  <c r="Q107" i="1" l="1"/>
  <c r="R107" i="1" s="1"/>
  <c r="B111" i="1" l="1"/>
  <c r="C111" i="1"/>
  <c r="D111" i="1"/>
  <c r="E111" i="1"/>
  <c r="F111" i="1"/>
  <c r="G111" i="1"/>
  <c r="H110" i="1"/>
  <c r="Q110" i="1"/>
  <c r="Q109" i="1"/>
  <c r="H109" i="1"/>
  <c r="Q108" i="1"/>
  <c r="R108" i="1" s="1"/>
  <c r="H108" i="1"/>
  <c r="H107" i="1"/>
  <c r="Q75" i="1" l="1"/>
  <c r="Q74" i="1"/>
  <c r="R74" i="1" s="1"/>
  <c r="L98" i="1" l="1"/>
  <c r="C102" i="1"/>
  <c r="D102" i="1"/>
  <c r="E102" i="1"/>
  <c r="F102" i="1"/>
  <c r="G102" i="1"/>
  <c r="B102" i="1"/>
  <c r="K98" i="1" l="1"/>
  <c r="Q98" i="1" s="1"/>
  <c r="R98" i="1" s="1"/>
  <c r="Q101" i="1"/>
  <c r="H101" i="1"/>
  <c r="Q100" i="1"/>
  <c r="H100" i="1"/>
  <c r="Q99" i="1"/>
  <c r="H99" i="1"/>
  <c r="H98" i="1"/>
  <c r="G94" i="1"/>
  <c r="F94" i="1"/>
  <c r="E94" i="1"/>
  <c r="D94" i="1"/>
  <c r="C94" i="1"/>
  <c r="B94" i="1"/>
  <c r="Q93" i="1"/>
  <c r="H93" i="1"/>
  <c r="Q92" i="1"/>
  <c r="H92" i="1"/>
  <c r="Q91" i="1"/>
  <c r="H91" i="1"/>
  <c r="Q90" i="1"/>
  <c r="R90" i="1" s="1"/>
  <c r="H90" i="1"/>
  <c r="G86" i="1"/>
  <c r="F86" i="1"/>
  <c r="E86" i="1"/>
  <c r="D86" i="1"/>
  <c r="C86" i="1"/>
  <c r="B86" i="1"/>
  <c r="Q85" i="1"/>
  <c r="H85" i="1"/>
  <c r="Q84" i="1"/>
  <c r="H84" i="1"/>
  <c r="Q83" i="1"/>
  <c r="H83" i="1"/>
  <c r="Q82" i="1"/>
  <c r="R82" i="1" s="1"/>
  <c r="H82" i="1"/>
  <c r="G78" i="1"/>
  <c r="F78" i="1"/>
  <c r="E78" i="1"/>
  <c r="D78" i="1"/>
  <c r="C78" i="1"/>
  <c r="B78" i="1"/>
  <c r="Q77" i="1"/>
  <c r="H77" i="1"/>
  <c r="Q76" i="1"/>
  <c r="H76" i="1"/>
  <c r="H75" i="1"/>
  <c r="H74" i="1"/>
  <c r="H66" i="1"/>
  <c r="Q66" i="1"/>
  <c r="R66" i="1" s="1"/>
  <c r="H67" i="1"/>
  <c r="Q67" i="1"/>
  <c r="H68" i="1"/>
  <c r="Q68" i="1"/>
  <c r="H69" i="1"/>
  <c r="Q69" i="1"/>
  <c r="B70" i="1"/>
  <c r="C70" i="1"/>
  <c r="D70" i="1"/>
  <c r="E70" i="1"/>
  <c r="F70" i="1"/>
  <c r="G70" i="1"/>
  <c r="G62" i="1"/>
  <c r="F62" i="1"/>
  <c r="E62" i="1"/>
  <c r="D62" i="1"/>
  <c r="C62" i="1"/>
  <c r="B62" i="1"/>
  <c r="Q61" i="1"/>
  <c r="H61" i="1"/>
  <c r="Q60" i="1"/>
  <c r="H60" i="1"/>
  <c r="Q59" i="1"/>
  <c r="H59" i="1"/>
  <c r="Q58" i="1"/>
  <c r="R58" i="1" s="1"/>
  <c r="H58" i="1"/>
  <c r="G55" i="1"/>
  <c r="F55" i="1"/>
  <c r="E55" i="1"/>
  <c r="D55" i="1"/>
  <c r="C55" i="1"/>
  <c r="B55" i="1"/>
  <c r="Q54" i="1"/>
  <c r="H54" i="1"/>
  <c r="H53" i="1"/>
  <c r="Q52" i="1"/>
  <c r="R52" i="1" s="1"/>
  <c r="H52" i="1"/>
  <c r="Q51" i="1"/>
  <c r="R51" i="1" s="1"/>
  <c r="H51" i="1"/>
  <c r="G47" i="1"/>
  <c r="F47" i="1"/>
  <c r="E47" i="1"/>
  <c r="D47" i="1"/>
  <c r="C47" i="1"/>
  <c r="B47" i="1"/>
  <c r="Q46" i="1"/>
  <c r="H46" i="1"/>
  <c r="Q45" i="1"/>
  <c r="R45" i="1" s="1"/>
  <c r="H45" i="1"/>
  <c r="Q44" i="1"/>
  <c r="H44" i="1"/>
  <c r="Q43" i="1"/>
  <c r="R43" i="1" s="1"/>
  <c r="H43" i="1"/>
  <c r="G39" i="1"/>
  <c r="F39" i="1"/>
  <c r="E39" i="1"/>
  <c r="D39" i="1"/>
  <c r="C39" i="1"/>
  <c r="B39" i="1"/>
  <c r="Q38" i="1"/>
  <c r="H38" i="1"/>
  <c r="Q37" i="1"/>
  <c r="R37" i="1" s="1"/>
  <c r="H37" i="1"/>
  <c r="Q36" i="1"/>
  <c r="R36" i="1" s="1"/>
  <c r="H36" i="1"/>
  <c r="Q35" i="1"/>
  <c r="R35" i="1" s="1"/>
  <c r="H35" i="1"/>
  <c r="G31" i="1"/>
  <c r="E31" i="1"/>
  <c r="F31" i="1"/>
  <c r="D31" i="1"/>
  <c r="C31" i="1"/>
  <c r="B31" i="1"/>
  <c r="Q28" i="1" l="1"/>
  <c r="R28" i="1" s="1"/>
  <c r="Q29" i="1"/>
  <c r="R29" i="1" s="1"/>
  <c r="Q30" i="1"/>
  <c r="R30" i="1" s="1"/>
  <c r="Q27" i="1"/>
  <c r="R27" i="1" s="1"/>
  <c r="Q20" i="1"/>
  <c r="R20" i="1" s="1"/>
  <c r="Q21" i="1"/>
  <c r="R21" i="1" s="1"/>
  <c r="Q22" i="1"/>
  <c r="R22" i="1" s="1"/>
  <c r="Q19" i="1"/>
  <c r="R19" i="1" s="1"/>
  <c r="H30" i="1"/>
  <c r="H29" i="1"/>
  <c r="H28" i="1"/>
  <c r="H27" i="1"/>
  <c r="H22" i="1"/>
  <c r="H21" i="1"/>
  <c r="H20" i="1"/>
  <c r="H19" i="1"/>
  <c r="Q14" i="1"/>
  <c r="R14" i="1" s="1"/>
  <c r="Q13" i="1"/>
  <c r="R13" i="1" s="1"/>
  <c r="Q12" i="1"/>
  <c r="R12" i="1" s="1"/>
  <c r="Q11" i="1"/>
  <c r="R11" i="1" s="1"/>
  <c r="H12" i="1"/>
  <c r="H13" i="1"/>
  <c r="H14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98" authorId="0" shapeId="0" xr:uid="{E28F532B-D634-4FB1-BE7D-5BBE7D5E24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It was carried on pay weekend so we added it to the following week data
</t>
        </r>
      </text>
    </comment>
  </commentList>
</comments>
</file>

<file path=xl/sharedStrings.xml><?xml version="1.0" encoding="utf-8"?>
<sst xmlns="http://schemas.openxmlformats.org/spreadsheetml/2006/main" count="693" uniqueCount="17">
  <si>
    <t>Daily production</t>
  </si>
  <si>
    <t>Stone dust</t>
  </si>
  <si>
    <t>Stone base</t>
  </si>
  <si>
    <t>Monday</t>
  </si>
  <si>
    <t>Tuesday</t>
  </si>
  <si>
    <t>Wednesday</t>
  </si>
  <si>
    <t>Thursday</t>
  </si>
  <si>
    <t>Friday</t>
  </si>
  <si>
    <t>Saturday</t>
  </si>
  <si>
    <t>Total</t>
  </si>
  <si>
    <t xml:space="preserve"> </t>
  </si>
  <si>
    <t>TONS</t>
  </si>
  <si>
    <t>Daily issue out</t>
  </si>
  <si>
    <t>Cum-sb</t>
  </si>
  <si>
    <t>Cum-3/4</t>
  </si>
  <si>
    <t>Cum-1/2</t>
  </si>
  <si>
    <t>Cum-s/d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</si>
</sst>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164" fontId="2" fillId="3" borderId="0" xfId="0" applyNumberFormat="1" applyFont="1" applyFill="1"/>
    <xf numFmtId="164" fontId="0" fillId="3" borderId="0" xfId="0" applyNumberFormat="1" applyFill="1"/>
    <xf numFmtId="0" fontId="0" fillId="4" borderId="0" xfId="0" applyFill="1"/>
    <xf numFmtId="0" fontId="1" fillId="5" borderId="0" xfId="0" applyFont="1" applyFill="1"/>
    <xf numFmtId="0" fontId="0" fillId="5" borderId="0" xfId="0" applyFill="1" applyAlignment="1">
      <alignment horizontal="center"/>
    </xf>
    <xf numFmtId="12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/>
    <xf numFmtId="2" fontId="0" fillId="0" borderId="0" xfId="0" applyNumberFormat="1"/>
    <xf numFmtId="2" fontId="0" fillId="2" borderId="0" xfId="0" applyNumberFormat="1" applyFill="1"/>
    <xf numFmtId="0" fontId="0" fillId="6" borderId="0" xfId="0" applyFill="1"/>
    <xf numFmtId="0" fontId="0" fillId="7" borderId="0" xfId="0" applyFill="1"/>
    <xf numFmtId="1" fontId="0" fillId="0" borderId="0" xfId="0" applyNumberFormat="1"/>
    <xf numFmtId="0" fontId="0" fillId="8" borderId="0" xfId="0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Arial Black" panose="020B0A04020102020204" pitchFamily="34" charset="0"/>
              </a:rPr>
              <a:t>Production</a:t>
            </a:r>
            <a:r>
              <a:rPr lang="en-US" sz="1600" b="1" baseline="0">
                <a:solidFill>
                  <a:schemeClr val="bg1"/>
                </a:solidFill>
                <a:latin typeface="Arial Black" panose="020B0A04020102020204" pitchFamily="34" charset="0"/>
              </a:rPr>
              <a:t> Trend</a:t>
            </a:r>
          </a:p>
          <a:p>
            <a:pPr>
              <a:defRPr sz="1600" b="1">
                <a:solidFill>
                  <a:schemeClr val="bg1"/>
                </a:solidFill>
                <a:latin typeface="Arial Black" panose="020B0A04020102020204" pitchFamily="34" charset="0"/>
              </a:defRPr>
            </a:pPr>
            <a:endParaRPr lang="en-US" sz="1600" b="1">
              <a:solidFill>
                <a:schemeClr val="bg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27104074677226E-2"/>
          <c:y val="5.1759214137320785E-2"/>
          <c:w val="0.83657619268179728"/>
          <c:h val="0.8065737902061737"/>
        </c:manualLayout>
      </c:layout>
      <c:lineChart>
        <c:grouping val="standard"/>
        <c:varyColors val="0"/>
        <c:ser>
          <c:idx val="0"/>
          <c:order val="0"/>
          <c:tx>
            <c:strRef>
              <c:f>'April-24sept'!$EO$1</c:f>
              <c:strCache>
                <c:ptCount val="1"/>
                <c:pt idx="0">
                  <c:v>Cum-sb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'April-24sept'!$EO$2:$EO$7</c:f>
              <c:numCache>
                <c:formatCode>General</c:formatCode>
                <c:ptCount val="6"/>
                <c:pt idx="0">
                  <c:v>2887</c:v>
                </c:pt>
                <c:pt idx="1">
                  <c:v>3048</c:v>
                </c:pt>
                <c:pt idx="2">
                  <c:v>3449</c:v>
                </c:pt>
                <c:pt idx="3">
                  <c:v>2730</c:v>
                </c:pt>
                <c:pt idx="4">
                  <c:v>2222</c:v>
                </c:pt>
                <c:pt idx="5">
                  <c:v>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4-4471-A7C3-BA2460EB08B9}"/>
            </c:ext>
          </c:extLst>
        </c:ser>
        <c:ser>
          <c:idx val="1"/>
          <c:order val="1"/>
          <c:tx>
            <c:strRef>
              <c:f>'April-24sept'!$EP$1</c:f>
              <c:strCache>
                <c:ptCount val="1"/>
                <c:pt idx="0">
                  <c:v>Cum-3/4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'April-24sept'!$EP$2:$EP$7</c:f>
              <c:numCache>
                <c:formatCode>General</c:formatCode>
                <c:ptCount val="6"/>
                <c:pt idx="0">
                  <c:v>633</c:v>
                </c:pt>
                <c:pt idx="1">
                  <c:v>528</c:v>
                </c:pt>
                <c:pt idx="2">
                  <c:v>360</c:v>
                </c:pt>
                <c:pt idx="3">
                  <c:v>507</c:v>
                </c:pt>
                <c:pt idx="4">
                  <c:v>399</c:v>
                </c:pt>
                <c:pt idx="5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F4-4471-A7C3-BA2460EB08B9}"/>
            </c:ext>
          </c:extLst>
        </c:ser>
        <c:ser>
          <c:idx val="2"/>
          <c:order val="2"/>
          <c:tx>
            <c:strRef>
              <c:f>'April-24sept'!$EQ$1</c:f>
              <c:strCache>
                <c:ptCount val="1"/>
                <c:pt idx="0">
                  <c:v>Cum-1/2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'April-24sept'!$EQ$2:$EQ$7</c:f>
              <c:numCache>
                <c:formatCode>General</c:formatCode>
                <c:ptCount val="6"/>
                <c:pt idx="0">
                  <c:v>513</c:v>
                </c:pt>
                <c:pt idx="1">
                  <c:v>420</c:v>
                </c:pt>
                <c:pt idx="2">
                  <c:v>291</c:v>
                </c:pt>
                <c:pt idx="3">
                  <c:v>405</c:v>
                </c:pt>
                <c:pt idx="4">
                  <c:v>327</c:v>
                </c:pt>
                <c:pt idx="5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F4-4471-A7C3-BA2460EB08B9}"/>
            </c:ext>
          </c:extLst>
        </c:ser>
        <c:ser>
          <c:idx val="3"/>
          <c:order val="3"/>
          <c:tx>
            <c:strRef>
              <c:f>'April-24sept'!$ER$1</c:f>
              <c:strCache>
                <c:ptCount val="1"/>
                <c:pt idx="0">
                  <c:v>Cum-s/d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'April-24sept'!$ER$2:$ER$7</c:f>
              <c:numCache>
                <c:formatCode>General</c:formatCode>
                <c:ptCount val="6"/>
                <c:pt idx="0">
                  <c:v>591</c:v>
                </c:pt>
                <c:pt idx="1">
                  <c:v>492</c:v>
                </c:pt>
                <c:pt idx="2">
                  <c:v>336</c:v>
                </c:pt>
                <c:pt idx="3">
                  <c:v>471</c:v>
                </c:pt>
                <c:pt idx="4">
                  <c:v>375</c:v>
                </c:pt>
                <c:pt idx="5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F4-4471-A7C3-BA2460EB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709743"/>
        <c:axId val="1166221023"/>
      </c:lineChart>
      <c:catAx>
        <c:axId val="11827097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21023"/>
        <c:crosses val="autoZero"/>
        <c:auto val="1"/>
        <c:lblAlgn val="ctr"/>
        <c:lblOffset val="100"/>
        <c:noMultiLvlLbl val="0"/>
      </c:catAx>
      <c:valAx>
        <c:axId val="1166221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0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  <a:latin typeface="Arial Black" panose="020B0A04020102020204" pitchFamily="34" charset="0"/>
                <a:ea typeface="Arial Black" panose="020B0A04020102020204" pitchFamily="34" charset="0"/>
                <a:cs typeface="Arial Black" panose="020B0A04020102020204" pitchFamily="34" charset="0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  <a:latin typeface="Arial Black" panose="020B0A04020102020204" pitchFamily="34" charset="0"/>
              </a:rPr>
              <a:t>Pareto Chart</a:t>
            </a:r>
          </a:p>
          <a:p>
            <a:pPr algn="ctr" rtl="0">
              <a:defRPr b="1">
                <a:solidFill>
                  <a:schemeClr val="bg1"/>
                </a:solidFill>
                <a:latin typeface="Arial Black" panose="020B0A04020102020204" pitchFamily="34" charset="0"/>
                <a:ea typeface="Arial Black" panose="020B0A04020102020204" pitchFamily="34" charset="0"/>
                <a:cs typeface="Arial Black" panose="020B0A04020102020204" pitchFamily="34" charset="0"/>
              </a:defRPr>
            </a:pPr>
            <a:endParaRPr lang="en-US" sz="1400" b="1" i="0" u="none" strike="noStrike" baseline="0">
              <a:solidFill>
                <a:schemeClr val="bg1"/>
              </a:solidFill>
              <a:latin typeface="Arial Black" panose="020B0A04020102020204" pitchFamily="34" charset="0"/>
            </a:endParaRPr>
          </a:p>
        </cx:rich>
      </cx:tx>
    </cx:title>
    <cx:plotArea>
      <cx:plotAreaRegion>
        <cx:series layoutId="clusteredColumn" uniqueId="{E290ED3C-2625-42EF-A1F6-A339AE8836BD}" formatIdx="0">
          <cx:tx>
            <cx:txData>
              <cx:f>_xlchart.v1.8</cx:f>
              <cx:v>Cum-sb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435D3D82-363E-4E6F-A316-CA35598DC8F0}" formatIdx="1">
          <cx:axisId val="2"/>
        </cx:series>
        <cx:series layoutId="clusteredColumn" hidden="1" uniqueId="{788FD82E-D494-4BD7-ABED-71C20C345245}" formatIdx="2">
          <cx:tx>
            <cx:txData>
              <cx:f>_xlchart.v1.10</cx:f>
              <cx:v>Cum-3/4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89E8E998-DFCD-499A-BCC0-653964F3EED4}" formatIdx="3">
          <cx:axisId val="2"/>
        </cx:series>
        <cx:series layoutId="clusteredColumn" hidden="1" uniqueId="{8992EB2B-AF80-403A-9522-591350C1BA8C}" formatIdx="4">
          <cx:tx>
            <cx:txData>
              <cx:f>_xlchart.v1.12</cx:f>
              <cx:v>Cum-1/2</cx:v>
            </cx:txData>
          </cx:tx>
          <cx:dataId val="2"/>
          <cx:layoutPr>
            <cx:binning intervalClosed="r"/>
          </cx:layoutPr>
          <cx:axisId val="1"/>
        </cx:series>
        <cx:series layoutId="paretoLine" ownerIdx="4" uniqueId="{B17D5D6F-C4A9-4B62-8C9E-241D07E106EC}" formatIdx="5">
          <cx:axisId val="2"/>
        </cx:series>
        <cx:series layoutId="clusteredColumn" hidden="1" uniqueId="{3B569D95-3714-416C-A743-27F83A28A531}" formatIdx="6">
          <cx:tx>
            <cx:txData>
              <cx:f>_xlchart.v1.14</cx:f>
              <cx:v>Cum-s/d</cx:v>
            </cx:txData>
          </cx:tx>
          <cx:dataId val="3"/>
          <cx:layoutPr>
            <cx:binning intervalClosed="r"/>
          </cx:layoutPr>
          <cx:axisId val="1"/>
        </cx:series>
        <cx:series layoutId="paretoLine" ownerIdx="6" uniqueId="{0C1B24F2-8CB8-40E0-BBCB-AD16100F1384}" formatIdx="7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solidFill>
      <a:schemeClr val="tx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19050</xdr:rowOff>
    </xdr:from>
    <xdr:to>
      <xdr:col>17</xdr:col>
      <xdr:colOff>660400</xdr:colOff>
      <xdr:row>8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A22F1E-BD6B-C72B-0BE2-B07D520F1F91}"/>
            </a:ext>
          </a:extLst>
        </xdr:cNvPr>
        <xdr:cNvSpPr/>
      </xdr:nvSpPr>
      <xdr:spPr>
        <a:xfrm>
          <a:off x="12700" y="19050"/>
          <a:ext cx="11125200" cy="1466850"/>
        </a:xfrm>
        <a:prstGeom prst="rect">
          <a:avLst/>
        </a:prstGeom>
        <a:solidFill>
          <a:srgbClr val="0070C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 b="1" baseline="0"/>
            <a:t>____ NIGERIA LIMITED</a:t>
          </a:r>
        </a:p>
        <a:p>
          <a:pPr algn="ctr"/>
          <a:r>
            <a:rPr lang="en-US" sz="1400" b="1" baseline="0"/>
            <a:t>ENGINEERING AND CONSTRUCTION COMPANY</a:t>
          </a:r>
        </a:p>
        <a:p>
          <a:pPr algn="ctr"/>
          <a:r>
            <a:rPr lang="en-US" sz="1400" b="1" baseline="0"/>
            <a:t>Crusher Production &amp; Issue outs</a:t>
          </a:r>
        </a:p>
        <a:p>
          <a:pPr algn="l"/>
          <a:endParaRPr lang="en-US" sz="3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0</xdr:row>
      <xdr:rowOff>63500</xdr:rowOff>
    </xdr:from>
    <xdr:to>
      <xdr:col>14</xdr:col>
      <xdr:colOff>558800</xdr:colOff>
      <xdr:row>17</xdr:row>
      <xdr:rowOff>184150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EA2FB8-FDC2-27B6-B08C-F33ED9C533DE}"/>
            </a:ext>
          </a:extLst>
        </xdr:cNvPr>
        <xdr:cNvSpPr/>
      </xdr:nvSpPr>
      <xdr:spPr>
        <a:xfrm>
          <a:off x="444500" y="63500"/>
          <a:ext cx="8648700" cy="3683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520699</xdr:colOff>
      <xdr:row>2</xdr:row>
      <xdr:rowOff>107950</xdr:rowOff>
    </xdr:from>
    <xdr:to>
      <xdr:col>7</xdr:col>
      <xdr:colOff>285750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1E28C-7823-45FE-9F76-27BEE32F7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2</xdr:row>
      <xdr:rowOff>82550</xdr:rowOff>
    </xdr:from>
    <xdr:to>
      <xdr:col>14</xdr:col>
      <xdr:colOff>508000</xdr:colOff>
      <xdr:row>17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13D710-2A30-4AF5-B9E5-8435D05CCD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1700" y="501650"/>
              <a:ext cx="4330700" cy="322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546100</xdr:colOff>
      <xdr:row>0</xdr:row>
      <xdr:rowOff>88900</xdr:rowOff>
    </xdr:from>
    <xdr:to>
      <xdr:col>14</xdr:col>
      <xdr:colOff>514350</xdr:colOff>
      <xdr:row>2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6A31D2D-2001-F4BB-6089-C5ACED11ABBD}"/>
            </a:ext>
          </a:extLst>
        </xdr:cNvPr>
        <xdr:cNvSpPr/>
      </xdr:nvSpPr>
      <xdr:spPr>
        <a:xfrm>
          <a:off x="546100" y="88900"/>
          <a:ext cx="8502650" cy="38735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rial Black" panose="020B0A04020102020204" pitchFamily="34" charset="0"/>
            </a:rPr>
            <a:t>CRUSHER</a:t>
          </a:r>
          <a:r>
            <a:rPr lang="en-US" sz="1400" b="1" baseline="0">
              <a:latin typeface="Arial Black" panose="020B0A04020102020204" pitchFamily="34" charset="0"/>
            </a:rPr>
            <a:t> PRODUCTION</a:t>
          </a:r>
          <a:endParaRPr lang="en-US" sz="1400" b="1"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R199"/>
  <sheetViews>
    <sheetView tabSelected="1" zoomScale="92" zoomScaleNormal="92" zoomScaleSheetLayoutView="98" workbookViewId="0">
      <selection activeCell="I1" sqref="I1"/>
    </sheetView>
  </sheetViews>
  <sheetFormatPr defaultRowHeight="14.5" x14ac:dyDescent="0.35"/>
  <cols>
    <col min="1" max="1" width="9.08984375" style="10" bestFit="1" customWidth="1"/>
    <col min="6" max="6" width="10" bestFit="1" customWidth="1"/>
    <col min="8" max="8" width="8.7265625" style="1"/>
    <col min="10" max="10" width="8.7265625" style="10"/>
    <col min="17" max="17" width="8.7265625" style="1"/>
    <col min="18" max="18" width="9.54296875" customWidth="1"/>
  </cols>
  <sheetData>
    <row r="1" spans="1:18" s="13" customFormat="1" x14ac:dyDescent="0.35"/>
    <row r="2" spans="1:18" x14ac:dyDescent="0.35">
      <c r="A2" s="13"/>
      <c r="H2" s="13"/>
      <c r="J2" s="13"/>
      <c r="Q2" s="13"/>
    </row>
    <row r="3" spans="1:18" x14ac:dyDescent="0.35">
      <c r="A3" s="13"/>
      <c r="H3" s="13"/>
      <c r="J3" s="13"/>
      <c r="Q3" s="13"/>
    </row>
    <row r="4" spans="1:18" x14ac:dyDescent="0.35">
      <c r="A4" s="13"/>
      <c r="H4" s="13"/>
      <c r="J4" s="13"/>
      <c r="Q4" s="13"/>
    </row>
    <row r="5" spans="1:18" x14ac:dyDescent="0.35">
      <c r="A5" s="13"/>
      <c r="H5" s="13"/>
      <c r="J5" s="13"/>
      <c r="Q5" s="13"/>
    </row>
    <row r="6" spans="1:18" x14ac:dyDescent="0.35">
      <c r="A6" s="13"/>
      <c r="H6" s="13"/>
      <c r="J6" s="13"/>
      <c r="Q6" s="13"/>
    </row>
    <row r="7" spans="1:18" x14ac:dyDescent="0.35">
      <c r="A7" s="13"/>
      <c r="H7" s="13"/>
      <c r="J7" s="13"/>
      <c r="Q7" s="13"/>
    </row>
    <row r="8" spans="1:18" x14ac:dyDescent="0.35">
      <c r="A8" s="13"/>
      <c r="H8" s="13"/>
      <c r="J8" s="13"/>
      <c r="Q8" s="13"/>
    </row>
    <row r="9" spans="1:18" ht="28.5" x14ac:dyDescent="0.65">
      <c r="A9" s="6" t="s">
        <v>0</v>
      </c>
      <c r="B9" s="2"/>
      <c r="C9" s="2"/>
      <c r="D9" s="2"/>
      <c r="E9" s="2"/>
      <c r="F9" s="3">
        <v>46125</v>
      </c>
      <c r="G9" s="2"/>
      <c r="H9" s="2"/>
      <c r="J9" s="6" t="s">
        <v>12</v>
      </c>
      <c r="K9" s="2"/>
      <c r="L9" s="2"/>
      <c r="M9" s="4"/>
      <c r="N9" s="2"/>
      <c r="O9" s="2"/>
      <c r="P9" s="2"/>
      <c r="Q9" s="2"/>
      <c r="R9" s="2"/>
    </row>
    <row r="10" spans="1:18" x14ac:dyDescent="0.35">
      <c r="A10" s="7"/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s="1" t="s">
        <v>9</v>
      </c>
      <c r="J10" s="7"/>
      <c r="K10" t="s">
        <v>3</v>
      </c>
      <c r="L10" t="s">
        <v>4</v>
      </c>
      <c r="M10" t="s">
        <v>5</v>
      </c>
      <c r="N10" t="s">
        <v>6</v>
      </c>
      <c r="O10" t="s">
        <v>7</v>
      </c>
      <c r="P10" t="s">
        <v>8</v>
      </c>
      <c r="Q10" s="1" t="s">
        <v>9</v>
      </c>
      <c r="R10" s="1" t="s">
        <v>11</v>
      </c>
    </row>
    <row r="11" spans="1:18" x14ac:dyDescent="0.35">
      <c r="A11" s="8">
        <v>0.75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12">
        <f>SUM(B11:G11)</f>
        <v>0</v>
      </c>
      <c r="J11" s="8">
        <v>0.75</v>
      </c>
      <c r="K11">
        <v>0</v>
      </c>
      <c r="L11">
        <v>0</v>
      </c>
      <c r="M11">
        <v>0</v>
      </c>
      <c r="N11">
        <v>8</v>
      </c>
      <c r="O11">
        <v>82.75</v>
      </c>
      <c r="P11">
        <v>0</v>
      </c>
      <c r="Q11" s="1">
        <f>SUM(K11:P11)</f>
        <v>90.75</v>
      </c>
      <c r="R11" s="12">
        <f>Q11*1.4</f>
        <v>127.05</v>
      </c>
    </row>
    <row r="12" spans="1:18" x14ac:dyDescent="0.35">
      <c r="A12" s="8">
        <v>0.5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12">
        <f t="shared" ref="H12:H14" si="0">SUM(B12:G12)</f>
        <v>0</v>
      </c>
      <c r="J12" s="8">
        <v>0.5</v>
      </c>
      <c r="K12">
        <v>0</v>
      </c>
      <c r="L12">
        <v>0</v>
      </c>
      <c r="M12">
        <v>0</v>
      </c>
      <c r="N12">
        <v>0</v>
      </c>
      <c r="O12">
        <v>64.319999999999993</v>
      </c>
      <c r="P12">
        <v>0</v>
      </c>
      <c r="Q12" s="1">
        <f t="shared" ref="Q12:Q14" si="1">SUM(K12:P12)</f>
        <v>64.319999999999993</v>
      </c>
      <c r="R12" s="12">
        <f>Q12*1.4</f>
        <v>90.047999999999988</v>
      </c>
    </row>
    <row r="13" spans="1:18" x14ac:dyDescent="0.35">
      <c r="A13" s="9" t="s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12">
        <f t="shared" si="0"/>
        <v>0</v>
      </c>
      <c r="J13" s="9" t="s">
        <v>1</v>
      </c>
      <c r="K13">
        <v>41.4</v>
      </c>
      <c r="L13">
        <v>0</v>
      </c>
      <c r="M13">
        <v>35.799999999999997</v>
      </c>
      <c r="N13">
        <v>0</v>
      </c>
      <c r="O13">
        <v>97.56</v>
      </c>
      <c r="P13">
        <v>140.30000000000001</v>
      </c>
      <c r="Q13" s="1">
        <f t="shared" si="1"/>
        <v>315.06</v>
      </c>
      <c r="R13" s="12">
        <f>Q13*1.5</f>
        <v>472.59000000000003</v>
      </c>
    </row>
    <row r="14" spans="1:18" x14ac:dyDescent="0.35">
      <c r="A14" s="9" t="s">
        <v>2</v>
      </c>
      <c r="B14">
        <v>288</v>
      </c>
      <c r="C14">
        <v>291</v>
      </c>
      <c r="D14">
        <v>240</v>
      </c>
      <c r="E14">
        <v>282</v>
      </c>
      <c r="F14">
        <v>288</v>
      </c>
      <c r="G14">
        <v>0</v>
      </c>
      <c r="H14" s="12">
        <f t="shared" si="0"/>
        <v>1389</v>
      </c>
      <c r="J14" s="9" t="s">
        <v>2</v>
      </c>
      <c r="K14">
        <v>541.47</v>
      </c>
      <c r="L14">
        <v>584</v>
      </c>
      <c r="M14">
        <v>0</v>
      </c>
      <c r="N14">
        <v>0</v>
      </c>
      <c r="O14">
        <v>0</v>
      </c>
      <c r="Q14" s="1">
        <f t="shared" si="1"/>
        <v>1125.47</v>
      </c>
      <c r="R14" s="12">
        <f>1.69*Q14</f>
        <v>1902.0443</v>
      </c>
    </row>
    <row r="15" spans="1:18" x14ac:dyDescent="0.35">
      <c r="B15" s="5">
        <f>SUM(B11:B14)</f>
        <v>288</v>
      </c>
      <c r="C15" s="5">
        <f>SUM(C11:C14)</f>
        <v>291</v>
      </c>
      <c r="D15" s="5">
        <f>SUM(D11:D14)</f>
        <v>240</v>
      </c>
      <c r="E15" s="5">
        <f t="shared" ref="E15:G15" si="2">SUM(E11:E14)</f>
        <v>282</v>
      </c>
      <c r="F15" s="5">
        <f t="shared" si="2"/>
        <v>288</v>
      </c>
      <c r="G15" s="5">
        <f t="shared" si="2"/>
        <v>0</v>
      </c>
    </row>
    <row r="17" spans="1:18" x14ac:dyDescent="0.35">
      <c r="A17" s="9"/>
      <c r="F17" s="3">
        <v>46132</v>
      </c>
      <c r="J17" s="9"/>
    </row>
    <row r="18" spans="1:18" x14ac:dyDescent="0.35">
      <c r="A18" s="9"/>
      <c r="B18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  <c r="H18" s="1" t="s">
        <v>9</v>
      </c>
      <c r="J18" s="9"/>
      <c r="K18" t="s">
        <v>3</v>
      </c>
      <c r="L18" t="s">
        <v>4</v>
      </c>
      <c r="M18" t="s">
        <v>5</v>
      </c>
      <c r="N18" t="s">
        <v>6</v>
      </c>
      <c r="O18" t="s">
        <v>7</v>
      </c>
      <c r="P18" t="s">
        <v>8</v>
      </c>
      <c r="Q18" s="1" t="s">
        <v>9</v>
      </c>
      <c r="R18" s="1" t="s">
        <v>11</v>
      </c>
    </row>
    <row r="19" spans="1:18" x14ac:dyDescent="0.35">
      <c r="A19" s="8">
        <v>0.75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12">
        <f>SUM(B19:G19)</f>
        <v>0</v>
      </c>
      <c r="J19" s="8">
        <v>0.75</v>
      </c>
      <c r="K19">
        <v>0</v>
      </c>
      <c r="L19">
        <v>0</v>
      </c>
      <c r="M19">
        <v>0</v>
      </c>
      <c r="N19">
        <v>0</v>
      </c>
      <c r="O19">
        <v>69.459999999999994</v>
      </c>
      <c r="P19">
        <v>71</v>
      </c>
      <c r="Q19" s="1">
        <f>SUM(K19:P19)</f>
        <v>140.45999999999998</v>
      </c>
      <c r="R19" s="12">
        <f>Q19*1.4</f>
        <v>196.64399999999995</v>
      </c>
    </row>
    <row r="20" spans="1:18" x14ac:dyDescent="0.35">
      <c r="A20" s="8">
        <v>0.5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12">
        <f>SUM(B20:G20)</f>
        <v>0</v>
      </c>
      <c r="J20" s="8">
        <v>0.5</v>
      </c>
      <c r="K20">
        <v>0</v>
      </c>
      <c r="L20">
        <v>0</v>
      </c>
      <c r="M20">
        <v>0</v>
      </c>
      <c r="N20">
        <v>0</v>
      </c>
      <c r="O20">
        <v>84</v>
      </c>
      <c r="P20">
        <v>35</v>
      </c>
      <c r="Q20" s="1">
        <f t="shared" ref="Q20:Q22" si="3">SUM(K20:P20)</f>
        <v>119</v>
      </c>
      <c r="R20" s="12">
        <f>Q20*1.4</f>
        <v>166.6</v>
      </c>
    </row>
    <row r="21" spans="1:18" x14ac:dyDescent="0.35">
      <c r="A21" s="9" t="s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12">
        <f>SUM(B21:G21)</f>
        <v>0</v>
      </c>
      <c r="J21" s="9" t="s">
        <v>1</v>
      </c>
      <c r="K21">
        <v>0</v>
      </c>
      <c r="L21">
        <v>0</v>
      </c>
      <c r="M21">
        <v>0</v>
      </c>
      <c r="N21">
        <v>37</v>
      </c>
      <c r="O21">
        <v>119</v>
      </c>
      <c r="P21">
        <v>99.4</v>
      </c>
      <c r="Q21" s="1">
        <f t="shared" si="3"/>
        <v>255.4</v>
      </c>
      <c r="R21" s="12">
        <f>Q21*1.5</f>
        <v>383.1</v>
      </c>
    </row>
    <row r="22" spans="1:18" x14ac:dyDescent="0.35">
      <c r="A22" s="9" t="s">
        <v>2</v>
      </c>
      <c r="B22">
        <v>0</v>
      </c>
      <c r="C22">
        <v>276</v>
      </c>
      <c r="D22">
        <v>300</v>
      </c>
      <c r="E22">
        <v>180</v>
      </c>
      <c r="F22">
        <v>261</v>
      </c>
      <c r="G22">
        <v>0</v>
      </c>
      <c r="H22" s="12">
        <f>SUM(B22:G22)</f>
        <v>1017</v>
      </c>
      <c r="J22" s="9" t="s">
        <v>2</v>
      </c>
      <c r="K22">
        <v>0</v>
      </c>
      <c r="L22">
        <v>631</v>
      </c>
      <c r="M22">
        <v>595</v>
      </c>
      <c r="N22">
        <v>551.29999999999995</v>
      </c>
      <c r="O22">
        <v>306</v>
      </c>
      <c r="P22">
        <v>205</v>
      </c>
      <c r="Q22" s="1">
        <f t="shared" si="3"/>
        <v>2288.3000000000002</v>
      </c>
      <c r="R22" s="12">
        <f>1.69*Q22</f>
        <v>3867.2270000000003</v>
      </c>
    </row>
    <row r="23" spans="1:18" x14ac:dyDescent="0.35">
      <c r="B23" s="5">
        <f>SUM(B19:B22)</f>
        <v>0</v>
      </c>
      <c r="C23" s="5">
        <f>SUM(C19:C22)</f>
        <v>276</v>
      </c>
      <c r="D23" s="5">
        <f>SUM(D19:D22)</f>
        <v>300</v>
      </c>
      <c r="E23" s="5">
        <f t="shared" ref="E23" si="4">SUM(E19:E22)</f>
        <v>180</v>
      </c>
      <c r="F23" s="5">
        <f t="shared" ref="F23" si="5">SUM(F19:F22)</f>
        <v>261</v>
      </c>
      <c r="G23" s="5">
        <f t="shared" ref="G23" si="6">SUM(G19:G22)</f>
        <v>0</v>
      </c>
    </row>
    <row r="25" spans="1:18" x14ac:dyDescent="0.35">
      <c r="A25" s="9"/>
      <c r="F25" s="3">
        <v>46139</v>
      </c>
      <c r="J25" s="9"/>
    </row>
    <row r="26" spans="1:18" x14ac:dyDescent="0.35">
      <c r="A26" s="9"/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s="1" t="s">
        <v>9</v>
      </c>
      <c r="J26" s="9"/>
      <c r="K26" t="s">
        <v>3</v>
      </c>
      <c r="L26" t="s">
        <v>4</v>
      </c>
      <c r="M26" t="s">
        <v>5</v>
      </c>
      <c r="N26" t="s">
        <v>6</v>
      </c>
      <c r="O26" t="s">
        <v>7</v>
      </c>
      <c r="P26" t="s">
        <v>8</v>
      </c>
      <c r="Q26" s="1" t="s">
        <v>9</v>
      </c>
      <c r="R26" s="1" t="s">
        <v>11</v>
      </c>
    </row>
    <row r="27" spans="1:18" x14ac:dyDescent="0.35">
      <c r="A27" s="8">
        <v>0.75</v>
      </c>
      <c r="B27">
        <v>84</v>
      </c>
      <c r="C27">
        <v>96</v>
      </c>
      <c r="D27">
        <v>102</v>
      </c>
      <c r="E27">
        <v>51</v>
      </c>
      <c r="H27" s="12">
        <f>SUM(B27:G27)</f>
        <v>333</v>
      </c>
      <c r="J27" s="8">
        <v>0.75</v>
      </c>
      <c r="K27">
        <v>0</v>
      </c>
      <c r="L27">
        <v>88</v>
      </c>
      <c r="M27">
        <v>16</v>
      </c>
      <c r="N27">
        <v>0</v>
      </c>
      <c r="Q27" s="1">
        <f>SUM(K27:P27)</f>
        <v>104</v>
      </c>
      <c r="R27" s="12">
        <f>Q27*1.4</f>
        <v>145.6</v>
      </c>
    </row>
    <row r="28" spans="1:18" x14ac:dyDescent="0.35">
      <c r="A28" s="8">
        <v>0.5</v>
      </c>
      <c r="B28">
        <v>69</v>
      </c>
      <c r="C28">
        <v>78</v>
      </c>
      <c r="D28">
        <v>84</v>
      </c>
      <c r="E28">
        <v>36</v>
      </c>
      <c r="H28" s="12">
        <f>SUM(B28:G28)</f>
        <v>267</v>
      </c>
      <c r="J28" s="8">
        <v>0.5</v>
      </c>
      <c r="K28">
        <v>0</v>
      </c>
      <c r="L28">
        <v>0</v>
      </c>
      <c r="M28">
        <v>0</v>
      </c>
      <c r="N28">
        <v>0</v>
      </c>
      <c r="Q28" s="1">
        <f t="shared" ref="Q28:Q30" si="7">SUM(K28:P28)</f>
        <v>0</v>
      </c>
      <c r="R28" s="12">
        <f>Q28*1.4</f>
        <v>0</v>
      </c>
    </row>
    <row r="29" spans="1:18" x14ac:dyDescent="0.35">
      <c r="A29" s="9" t="s">
        <v>1</v>
      </c>
      <c r="B29">
        <v>78</v>
      </c>
      <c r="C29">
        <v>90</v>
      </c>
      <c r="D29">
        <v>96</v>
      </c>
      <c r="E29">
        <v>45</v>
      </c>
      <c r="H29" s="12">
        <f>SUM(B29:G29)</f>
        <v>309</v>
      </c>
      <c r="J29" s="9" t="s">
        <v>1</v>
      </c>
      <c r="K29">
        <v>22.43</v>
      </c>
      <c r="L29">
        <v>60</v>
      </c>
      <c r="M29">
        <v>77</v>
      </c>
      <c r="N29">
        <v>0</v>
      </c>
      <c r="Q29" s="1">
        <f t="shared" si="7"/>
        <v>159.43</v>
      </c>
      <c r="R29" s="12">
        <f>Q29*1.5</f>
        <v>239.14500000000001</v>
      </c>
    </row>
    <row r="30" spans="1:18" x14ac:dyDescent="0.35">
      <c r="A30" s="9" t="s">
        <v>2</v>
      </c>
      <c r="B30">
        <v>0</v>
      </c>
      <c r="C30">
        <v>0</v>
      </c>
      <c r="D30">
        <v>0</v>
      </c>
      <c r="E30">
        <v>0</v>
      </c>
      <c r="H30" s="12">
        <f>SUM(B30:G30)</f>
        <v>0</v>
      </c>
      <c r="J30" s="9" t="s">
        <v>2</v>
      </c>
      <c r="K30">
        <v>530</v>
      </c>
      <c r="L30">
        <v>607.41999999999996</v>
      </c>
      <c r="M30">
        <v>399</v>
      </c>
      <c r="N30">
        <v>0</v>
      </c>
      <c r="Q30" s="1">
        <f t="shared" si="7"/>
        <v>1536.42</v>
      </c>
      <c r="R30" s="12">
        <f>1.69*Q30</f>
        <v>2596.5498000000002</v>
      </c>
    </row>
    <row r="31" spans="1:18" x14ac:dyDescent="0.35">
      <c r="B31" s="5">
        <f t="shared" ref="B31:G31" si="8">SUM(B27:B30)</f>
        <v>231</v>
      </c>
      <c r="C31" s="5">
        <f t="shared" si="8"/>
        <v>264</v>
      </c>
      <c r="D31" s="5">
        <f t="shared" si="8"/>
        <v>282</v>
      </c>
      <c r="E31" s="5">
        <f t="shared" si="8"/>
        <v>132</v>
      </c>
      <c r="F31" s="5">
        <f t="shared" si="8"/>
        <v>0</v>
      </c>
      <c r="G31" s="5">
        <f t="shared" si="8"/>
        <v>0</v>
      </c>
      <c r="H31" s="12"/>
    </row>
    <row r="33" spans="1:18" x14ac:dyDescent="0.35">
      <c r="A33" s="9"/>
      <c r="F33" s="3">
        <v>46146</v>
      </c>
      <c r="J33" s="9"/>
    </row>
    <row r="34" spans="1:18" x14ac:dyDescent="0.35">
      <c r="A34" s="9"/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s="1" t="s">
        <v>9</v>
      </c>
      <c r="J34" s="9"/>
      <c r="K34" t="s">
        <v>3</v>
      </c>
      <c r="L34" t="s">
        <v>4</v>
      </c>
      <c r="M34" t="s">
        <v>5</v>
      </c>
      <c r="N34" t="s">
        <v>6</v>
      </c>
      <c r="O34" t="s">
        <v>7</v>
      </c>
      <c r="P34" t="s">
        <v>8</v>
      </c>
      <c r="Q34" s="1" t="s">
        <v>9</v>
      </c>
      <c r="R34" s="1" t="s">
        <v>11</v>
      </c>
    </row>
    <row r="35" spans="1:18" x14ac:dyDescent="0.35">
      <c r="A35" s="8">
        <v>0.75</v>
      </c>
      <c r="B35">
        <v>99</v>
      </c>
      <c r="C35">
        <v>93</v>
      </c>
      <c r="D35">
        <v>96</v>
      </c>
      <c r="E35">
        <v>72</v>
      </c>
      <c r="F35">
        <v>0</v>
      </c>
      <c r="G35">
        <v>90</v>
      </c>
      <c r="H35" s="12">
        <f>SUM(B35:G35)</f>
        <v>450</v>
      </c>
      <c r="J35" s="8">
        <v>0.75</v>
      </c>
      <c r="K35">
        <v>0</v>
      </c>
      <c r="L35">
        <v>118</v>
      </c>
      <c r="M35">
        <v>83.89</v>
      </c>
      <c r="N35">
        <v>0</v>
      </c>
      <c r="O35">
        <v>0</v>
      </c>
      <c r="P35">
        <v>126.04</v>
      </c>
      <c r="Q35" s="1">
        <f>SUM(K35:P35)</f>
        <v>327.93</v>
      </c>
      <c r="R35" s="12">
        <f>Q35*1.4</f>
        <v>459.10199999999998</v>
      </c>
    </row>
    <row r="36" spans="1:18" x14ac:dyDescent="0.35">
      <c r="A36" s="8">
        <v>0.5</v>
      </c>
      <c r="B36">
        <v>81</v>
      </c>
      <c r="C36">
        <v>75</v>
      </c>
      <c r="D36">
        <v>78</v>
      </c>
      <c r="E36">
        <v>57</v>
      </c>
      <c r="F36">
        <v>0</v>
      </c>
      <c r="G36">
        <v>72</v>
      </c>
      <c r="H36" s="12">
        <f>SUM(B36:G36)</f>
        <v>363</v>
      </c>
      <c r="J36" s="8">
        <v>0.5</v>
      </c>
      <c r="K36">
        <v>0</v>
      </c>
      <c r="L36">
        <v>119.39</v>
      </c>
      <c r="M36">
        <v>149.79</v>
      </c>
      <c r="N36">
        <v>0</v>
      </c>
      <c r="O36">
        <v>0</v>
      </c>
      <c r="P36">
        <v>0</v>
      </c>
      <c r="Q36" s="1">
        <f t="shared" ref="Q36:Q38" si="9">SUM(K36:P36)</f>
        <v>269.18</v>
      </c>
      <c r="R36" s="12">
        <f>Q36*1.4</f>
        <v>376.85199999999998</v>
      </c>
    </row>
    <row r="37" spans="1:18" x14ac:dyDescent="0.35">
      <c r="A37" s="9" t="s">
        <v>1</v>
      </c>
      <c r="B37">
        <v>93</v>
      </c>
      <c r="C37">
        <v>87</v>
      </c>
      <c r="D37">
        <v>90</v>
      </c>
      <c r="E37">
        <v>66</v>
      </c>
      <c r="F37">
        <v>0</v>
      </c>
      <c r="G37">
        <v>84</v>
      </c>
      <c r="H37" s="12">
        <f>SUM(B37:G37)</f>
        <v>420</v>
      </c>
      <c r="J37" s="9" t="s">
        <v>1</v>
      </c>
      <c r="K37">
        <v>33.299999999999997</v>
      </c>
      <c r="L37">
        <v>140</v>
      </c>
      <c r="M37">
        <v>241.9</v>
      </c>
      <c r="N37">
        <v>219.47</v>
      </c>
      <c r="O37">
        <v>37.799999999999997</v>
      </c>
      <c r="P37">
        <v>0</v>
      </c>
      <c r="Q37" s="1">
        <f t="shared" si="9"/>
        <v>672.47</v>
      </c>
      <c r="R37" s="12">
        <f>Q37*1.5</f>
        <v>1008.705</v>
      </c>
    </row>
    <row r="38" spans="1:18" x14ac:dyDescent="0.35">
      <c r="A38" s="9" t="s">
        <v>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12">
        <f>SUM(B38:G38)</f>
        <v>0</v>
      </c>
      <c r="J38" s="9" t="s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1">
        <f t="shared" si="9"/>
        <v>0</v>
      </c>
      <c r="R38" s="1"/>
    </row>
    <row r="39" spans="1:18" x14ac:dyDescent="0.35">
      <c r="B39" s="5">
        <f t="shared" ref="B39:G39" si="10">SUM(B35:B38)</f>
        <v>273</v>
      </c>
      <c r="C39" s="5">
        <f t="shared" si="10"/>
        <v>255</v>
      </c>
      <c r="D39" s="5">
        <f t="shared" si="10"/>
        <v>264</v>
      </c>
      <c r="E39" s="5">
        <f t="shared" si="10"/>
        <v>195</v>
      </c>
      <c r="F39" s="5">
        <f t="shared" si="10"/>
        <v>0</v>
      </c>
      <c r="G39" s="5">
        <f t="shared" si="10"/>
        <v>246</v>
      </c>
      <c r="H39" s="12"/>
      <c r="O39" t="s">
        <v>10</v>
      </c>
    </row>
    <row r="41" spans="1:18" x14ac:dyDescent="0.35">
      <c r="A41" s="9"/>
      <c r="F41" s="3">
        <v>46153</v>
      </c>
      <c r="J41" s="9"/>
    </row>
    <row r="42" spans="1:18" x14ac:dyDescent="0.35">
      <c r="A42" s="9"/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s="1" t="s">
        <v>9</v>
      </c>
      <c r="J42" s="9"/>
      <c r="K42" t="s">
        <v>3</v>
      </c>
      <c r="L42" t="s">
        <v>4</v>
      </c>
      <c r="M42" t="s">
        <v>5</v>
      </c>
      <c r="N42" t="s">
        <v>6</v>
      </c>
      <c r="O42" t="s">
        <v>7</v>
      </c>
      <c r="P42" t="s">
        <v>8</v>
      </c>
      <c r="Q42" s="1" t="s">
        <v>9</v>
      </c>
      <c r="R42" s="1" t="s">
        <v>11</v>
      </c>
    </row>
    <row r="43" spans="1:18" x14ac:dyDescent="0.35">
      <c r="A43" s="8">
        <v>0.75</v>
      </c>
      <c r="B43">
        <v>102</v>
      </c>
      <c r="C43">
        <v>99</v>
      </c>
      <c r="D43">
        <v>93</v>
      </c>
      <c r="E43">
        <v>102</v>
      </c>
      <c r="F43">
        <v>105</v>
      </c>
      <c r="H43" s="12">
        <f>SUM(B43:G43)</f>
        <v>501</v>
      </c>
      <c r="J43" s="8">
        <v>0.75</v>
      </c>
      <c r="K43">
        <v>108.57</v>
      </c>
      <c r="L43">
        <v>0</v>
      </c>
      <c r="M43">
        <v>0</v>
      </c>
      <c r="N43">
        <v>138.32</v>
      </c>
      <c r="O43">
        <v>0</v>
      </c>
      <c r="Q43" s="1">
        <f>SUM(K43:P43)</f>
        <v>246.89</v>
      </c>
      <c r="R43" s="12">
        <f>Q43*1.4</f>
        <v>345.64599999999996</v>
      </c>
    </row>
    <row r="44" spans="1:18" x14ac:dyDescent="0.35">
      <c r="A44" s="8">
        <v>0.5</v>
      </c>
      <c r="B44">
        <v>84</v>
      </c>
      <c r="C44">
        <v>81</v>
      </c>
      <c r="D44">
        <v>75</v>
      </c>
      <c r="E44">
        <v>84</v>
      </c>
      <c r="F44">
        <v>87</v>
      </c>
      <c r="H44" s="12">
        <f>SUM(B44:G44)</f>
        <v>411</v>
      </c>
      <c r="J44" s="8">
        <v>0.5</v>
      </c>
      <c r="K44">
        <v>0</v>
      </c>
      <c r="L44">
        <v>0</v>
      </c>
      <c r="M44">
        <v>0</v>
      </c>
      <c r="N44">
        <v>0</v>
      </c>
      <c r="O44">
        <v>0</v>
      </c>
      <c r="Q44" s="1">
        <f t="shared" ref="Q44:Q46" si="11">SUM(K44:P44)</f>
        <v>0</v>
      </c>
      <c r="R44" s="12"/>
    </row>
    <row r="45" spans="1:18" x14ac:dyDescent="0.35">
      <c r="A45" s="9" t="s">
        <v>1</v>
      </c>
      <c r="B45">
        <v>96</v>
      </c>
      <c r="C45">
        <v>93</v>
      </c>
      <c r="D45">
        <v>87</v>
      </c>
      <c r="E45">
        <v>96</v>
      </c>
      <c r="F45">
        <v>99</v>
      </c>
      <c r="H45" s="12">
        <f>SUM(B45:G45)</f>
        <v>471</v>
      </c>
      <c r="J45" s="9" t="s">
        <v>1</v>
      </c>
      <c r="K45">
        <v>0</v>
      </c>
      <c r="L45">
        <v>33.97</v>
      </c>
      <c r="M45">
        <v>0</v>
      </c>
      <c r="N45">
        <v>0</v>
      </c>
      <c r="O45">
        <v>0</v>
      </c>
      <c r="Q45" s="1">
        <f t="shared" si="11"/>
        <v>33.97</v>
      </c>
      <c r="R45" s="12">
        <f>Q45*1.5</f>
        <v>50.954999999999998</v>
      </c>
    </row>
    <row r="46" spans="1:18" x14ac:dyDescent="0.35">
      <c r="A46" s="9" t="s">
        <v>2</v>
      </c>
      <c r="B46">
        <v>0</v>
      </c>
      <c r="C46">
        <v>0</v>
      </c>
      <c r="D46">
        <v>0</v>
      </c>
      <c r="E46">
        <v>0</v>
      </c>
      <c r="F46">
        <v>0</v>
      </c>
      <c r="H46" s="12">
        <f>SUM(B46:G46)</f>
        <v>0</v>
      </c>
      <c r="J46" s="9" t="s">
        <v>2</v>
      </c>
      <c r="K46">
        <v>0</v>
      </c>
      <c r="L46">
        <v>0</v>
      </c>
      <c r="M46">
        <v>0</v>
      </c>
      <c r="N46">
        <v>0</v>
      </c>
      <c r="O46">
        <v>0</v>
      </c>
      <c r="Q46" s="1">
        <f t="shared" si="11"/>
        <v>0</v>
      </c>
      <c r="R46" s="1"/>
    </row>
    <row r="47" spans="1:18" x14ac:dyDescent="0.35">
      <c r="B47" s="5">
        <f t="shared" ref="B47:G47" si="12">SUM(B43:B46)</f>
        <v>282</v>
      </c>
      <c r="C47" s="5">
        <f t="shared" si="12"/>
        <v>273</v>
      </c>
      <c r="D47" s="5">
        <f t="shared" si="12"/>
        <v>255</v>
      </c>
      <c r="E47" s="5">
        <f t="shared" si="12"/>
        <v>282</v>
      </c>
      <c r="F47" s="5">
        <f t="shared" si="12"/>
        <v>291</v>
      </c>
      <c r="G47" s="5">
        <f t="shared" si="12"/>
        <v>0</v>
      </c>
      <c r="H47" s="12"/>
      <c r="O47" t="s">
        <v>10</v>
      </c>
    </row>
    <row r="49" spans="1:18" x14ac:dyDescent="0.35">
      <c r="A49" s="9"/>
      <c r="F49" s="3">
        <v>46160</v>
      </c>
      <c r="J49" s="9"/>
    </row>
    <row r="50" spans="1:18" x14ac:dyDescent="0.35">
      <c r="A50" s="9"/>
      <c r="B50" t="s">
        <v>3</v>
      </c>
      <c r="C50" t="s">
        <v>4</v>
      </c>
      <c r="D50" t="s">
        <v>5</v>
      </c>
      <c r="E50" t="s">
        <v>6</v>
      </c>
      <c r="F50" t="s">
        <v>7</v>
      </c>
      <c r="G50" t="s">
        <v>8</v>
      </c>
      <c r="H50" s="1" t="s">
        <v>9</v>
      </c>
      <c r="J50" s="9"/>
      <c r="K50" t="s">
        <v>3</v>
      </c>
      <c r="L50" t="s">
        <v>4</v>
      </c>
      <c r="M50" t="s">
        <v>5</v>
      </c>
      <c r="N50" t="s">
        <v>6</v>
      </c>
      <c r="O50" t="s">
        <v>7</v>
      </c>
      <c r="P50" t="s">
        <v>8</v>
      </c>
      <c r="Q50" s="1" t="s">
        <v>9</v>
      </c>
      <c r="R50" s="1" t="s">
        <v>11</v>
      </c>
    </row>
    <row r="51" spans="1:18" x14ac:dyDescent="0.35">
      <c r="A51" s="8">
        <v>0.75</v>
      </c>
      <c r="B51">
        <v>99</v>
      </c>
      <c r="C51">
        <v>102</v>
      </c>
      <c r="D51">
        <v>0</v>
      </c>
      <c r="E51">
        <v>93</v>
      </c>
      <c r="F51">
        <v>99</v>
      </c>
      <c r="H51" s="12">
        <f>SUM(B51:G51)</f>
        <v>393</v>
      </c>
      <c r="J51" s="8">
        <v>0.75</v>
      </c>
      <c r="K51">
        <v>86.18</v>
      </c>
      <c r="L51">
        <v>0</v>
      </c>
      <c r="M51">
        <v>0</v>
      </c>
      <c r="N51">
        <v>0</v>
      </c>
      <c r="O51">
        <v>0</v>
      </c>
      <c r="Q51" s="1">
        <f>SUM(K51:P51)</f>
        <v>86.18</v>
      </c>
      <c r="R51" s="12">
        <f>Q51*1.4</f>
        <v>120.652</v>
      </c>
    </row>
    <row r="52" spans="1:18" x14ac:dyDescent="0.35">
      <c r="A52" s="8">
        <v>0.5</v>
      </c>
      <c r="B52">
        <v>81</v>
      </c>
      <c r="C52">
        <v>84</v>
      </c>
      <c r="D52">
        <v>0</v>
      </c>
      <c r="E52">
        <v>75</v>
      </c>
      <c r="F52">
        <v>81</v>
      </c>
      <c r="H52" s="12">
        <f>SUM(B52:G52)</f>
        <v>321</v>
      </c>
      <c r="J52" s="8">
        <v>0.5</v>
      </c>
      <c r="K52">
        <v>0</v>
      </c>
      <c r="L52">
        <v>0</v>
      </c>
      <c r="M52">
        <v>23.3</v>
      </c>
      <c r="N52">
        <v>0</v>
      </c>
      <c r="O52">
        <v>0</v>
      </c>
      <c r="Q52" s="1">
        <f>SUM(K52:P52)</f>
        <v>23.3</v>
      </c>
      <c r="R52" s="12">
        <f>Q52*1.4</f>
        <v>32.619999999999997</v>
      </c>
    </row>
    <row r="53" spans="1:18" x14ac:dyDescent="0.35">
      <c r="A53" s="9" t="s">
        <v>1</v>
      </c>
      <c r="B53">
        <v>93</v>
      </c>
      <c r="C53">
        <v>96</v>
      </c>
      <c r="D53">
        <v>0</v>
      </c>
      <c r="E53">
        <v>87</v>
      </c>
      <c r="F53">
        <v>93</v>
      </c>
      <c r="H53" s="12">
        <f>SUM(B53:G53)</f>
        <v>369</v>
      </c>
      <c r="J53" s="9" t="s">
        <v>1</v>
      </c>
      <c r="K53">
        <v>81.8</v>
      </c>
      <c r="L53">
        <v>0</v>
      </c>
      <c r="M53">
        <v>0</v>
      </c>
      <c r="N53">
        <v>0</v>
      </c>
      <c r="O53">
        <v>0</v>
      </c>
      <c r="Q53" s="1">
        <f>SUM(K53:P53)</f>
        <v>81.8</v>
      </c>
      <c r="R53" s="12">
        <f>Q53*1.5</f>
        <v>122.69999999999999</v>
      </c>
    </row>
    <row r="54" spans="1:18" x14ac:dyDescent="0.35">
      <c r="A54" s="9" t="s">
        <v>2</v>
      </c>
      <c r="B54">
        <v>0</v>
      </c>
      <c r="C54">
        <v>0</v>
      </c>
      <c r="D54">
        <v>0</v>
      </c>
      <c r="E54">
        <v>0</v>
      </c>
      <c r="F54">
        <v>0</v>
      </c>
      <c r="H54" s="12">
        <f>SUM(B54:G54)</f>
        <v>0</v>
      </c>
      <c r="J54" s="9" t="s">
        <v>2</v>
      </c>
      <c r="K54">
        <v>0</v>
      </c>
      <c r="L54">
        <v>0</v>
      </c>
      <c r="M54">
        <v>0</v>
      </c>
      <c r="N54">
        <v>0</v>
      </c>
      <c r="O54">
        <v>0</v>
      </c>
      <c r="Q54" s="1">
        <f>SUM(K54:P54)</f>
        <v>0</v>
      </c>
      <c r="R54" s="1"/>
    </row>
    <row r="55" spans="1:18" x14ac:dyDescent="0.35">
      <c r="B55" s="5">
        <f t="shared" ref="B55:G55" si="13">SUM(B51:B54)</f>
        <v>273</v>
      </c>
      <c r="C55" s="5">
        <f t="shared" si="13"/>
        <v>282</v>
      </c>
      <c r="D55" s="5">
        <f t="shared" si="13"/>
        <v>0</v>
      </c>
      <c r="E55" s="5">
        <f t="shared" si="13"/>
        <v>255</v>
      </c>
      <c r="F55" s="5">
        <f t="shared" si="13"/>
        <v>273</v>
      </c>
      <c r="G55" s="5">
        <f t="shared" si="13"/>
        <v>0</v>
      </c>
      <c r="O55" t="s">
        <v>10</v>
      </c>
    </row>
    <row r="56" spans="1:18" x14ac:dyDescent="0.35">
      <c r="F56" s="3">
        <v>46167</v>
      </c>
    </row>
    <row r="57" spans="1:18" x14ac:dyDescent="0.35">
      <c r="A57" s="9"/>
      <c r="B57" t="s">
        <v>3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  <c r="H57" s="1" t="s">
        <v>9</v>
      </c>
      <c r="J57" s="9"/>
      <c r="K57" t="s">
        <v>3</v>
      </c>
      <c r="L57" t="s">
        <v>4</v>
      </c>
      <c r="M57" t="s">
        <v>5</v>
      </c>
      <c r="N57" t="s">
        <v>6</v>
      </c>
      <c r="O57" t="s">
        <v>7</v>
      </c>
      <c r="P57" t="s">
        <v>8</v>
      </c>
      <c r="Q57" s="1" t="s">
        <v>9</v>
      </c>
      <c r="R57" s="1" t="s">
        <v>11</v>
      </c>
    </row>
    <row r="58" spans="1:18" x14ac:dyDescent="0.35">
      <c r="A58" s="8">
        <v>0.75</v>
      </c>
      <c r="B58">
        <v>93</v>
      </c>
      <c r="C58">
        <v>39</v>
      </c>
      <c r="H58" s="12">
        <f>SUM(B58:G58)</f>
        <v>132</v>
      </c>
      <c r="J58" s="8">
        <v>0.75</v>
      </c>
      <c r="K58">
        <v>0</v>
      </c>
      <c r="Q58" s="1">
        <f>SUM(K58:P58)</f>
        <v>0</v>
      </c>
      <c r="R58" s="12">
        <f>Q58*1.4</f>
        <v>0</v>
      </c>
    </row>
    <row r="59" spans="1:18" x14ac:dyDescent="0.35">
      <c r="A59" s="8">
        <v>0.5</v>
      </c>
      <c r="B59">
        <v>75</v>
      </c>
      <c r="C59">
        <v>21</v>
      </c>
      <c r="H59" s="12">
        <f>SUM(B59:G59)</f>
        <v>96</v>
      </c>
      <c r="J59" s="8">
        <v>0.5</v>
      </c>
      <c r="K59">
        <v>0</v>
      </c>
      <c r="Q59" s="1">
        <f t="shared" ref="Q59:Q61" si="14">SUM(K59:P59)</f>
        <v>0</v>
      </c>
      <c r="R59" s="1"/>
    </row>
    <row r="60" spans="1:18" x14ac:dyDescent="0.35">
      <c r="A60" s="9" t="s">
        <v>1</v>
      </c>
      <c r="B60">
        <v>87</v>
      </c>
      <c r="C60">
        <v>33</v>
      </c>
      <c r="H60" s="12">
        <f>SUM(B60:G60)</f>
        <v>120</v>
      </c>
      <c r="J60" s="9" t="s">
        <v>1</v>
      </c>
      <c r="K60">
        <v>0</v>
      </c>
      <c r="Q60" s="1">
        <f t="shared" si="14"/>
        <v>0</v>
      </c>
      <c r="R60" s="1"/>
    </row>
    <row r="61" spans="1:18" x14ac:dyDescent="0.35">
      <c r="A61" s="9" t="s">
        <v>2</v>
      </c>
      <c r="B61">
        <v>0</v>
      </c>
      <c r="H61" s="12">
        <f>SUM(B61:G61)</f>
        <v>0</v>
      </c>
      <c r="J61" s="9" t="s">
        <v>2</v>
      </c>
      <c r="K61">
        <v>0</v>
      </c>
      <c r="Q61" s="1">
        <f t="shared" si="14"/>
        <v>0</v>
      </c>
      <c r="R61" s="1"/>
    </row>
    <row r="62" spans="1:18" x14ac:dyDescent="0.35">
      <c r="B62" s="5">
        <f t="shared" ref="B62:G62" si="15">SUM(B58:B61)</f>
        <v>255</v>
      </c>
      <c r="C62" s="5">
        <f t="shared" si="15"/>
        <v>93</v>
      </c>
      <c r="D62" s="5">
        <f t="shared" si="15"/>
        <v>0</v>
      </c>
      <c r="E62" s="5">
        <f t="shared" si="15"/>
        <v>0</v>
      </c>
      <c r="F62" s="5">
        <f t="shared" si="15"/>
        <v>0</v>
      </c>
      <c r="G62" s="5">
        <f t="shared" si="15"/>
        <v>0</v>
      </c>
      <c r="O62" t="s">
        <v>10</v>
      </c>
    </row>
    <row r="64" spans="1:18" x14ac:dyDescent="0.35">
      <c r="F64" s="3">
        <v>46174</v>
      </c>
    </row>
    <row r="65" spans="1:18" x14ac:dyDescent="0.35">
      <c r="A65" s="9"/>
      <c r="B65" t="s">
        <v>3</v>
      </c>
      <c r="C65" t="s">
        <v>4</v>
      </c>
      <c r="D65" t="s">
        <v>5</v>
      </c>
      <c r="E65" t="s">
        <v>6</v>
      </c>
      <c r="F65" t="s">
        <v>7</v>
      </c>
      <c r="G65" t="s">
        <v>8</v>
      </c>
      <c r="H65" s="1" t="s">
        <v>9</v>
      </c>
      <c r="J65" s="9"/>
      <c r="K65" t="s">
        <v>3</v>
      </c>
      <c r="L65" t="s">
        <v>4</v>
      </c>
      <c r="M65" t="s">
        <v>5</v>
      </c>
      <c r="N65" t="s">
        <v>6</v>
      </c>
      <c r="O65" t="s">
        <v>7</v>
      </c>
      <c r="P65" t="s">
        <v>8</v>
      </c>
      <c r="Q65" s="1" t="s">
        <v>9</v>
      </c>
      <c r="R65" s="1" t="s">
        <v>11</v>
      </c>
    </row>
    <row r="66" spans="1:18" x14ac:dyDescent="0.35">
      <c r="A66" s="8">
        <v>0.75</v>
      </c>
      <c r="B66">
        <v>66</v>
      </c>
      <c r="C66">
        <v>99</v>
      </c>
      <c r="D66">
        <v>69</v>
      </c>
      <c r="E66">
        <v>87</v>
      </c>
      <c r="F66">
        <v>96</v>
      </c>
      <c r="G66">
        <v>93</v>
      </c>
      <c r="H66" s="12">
        <f>SUM(B66:G66)</f>
        <v>510</v>
      </c>
      <c r="J66" s="8">
        <v>0.75</v>
      </c>
      <c r="K66">
        <v>0</v>
      </c>
      <c r="L66">
        <v>24.39</v>
      </c>
      <c r="M66">
        <v>0</v>
      </c>
      <c r="N66">
        <v>0</v>
      </c>
      <c r="O66">
        <v>60</v>
      </c>
      <c r="P66">
        <v>0</v>
      </c>
      <c r="Q66" s="1">
        <f>SUM(K66:P66)</f>
        <v>84.39</v>
      </c>
      <c r="R66" s="12">
        <f>Q66*1.4</f>
        <v>118.14599999999999</v>
      </c>
    </row>
    <row r="67" spans="1:18" x14ac:dyDescent="0.35">
      <c r="A67" s="8">
        <v>0.5</v>
      </c>
      <c r="B67">
        <v>51</v>
      </c>
      <c r="C67">
        <v>81</v>
      </c>
      <c r="D67">
        <v>54</v>
      </c>
      <c r="E67">
        <v>69</v>
      </c>
      <c r="F67">
        <v>78</v>
      </c>
      <c r="G67">
        <v>75</v>
      </c>
      <c r="H67" s="12">
        <f>SUM(B67:G67)</f>
        <v>408</v>
      </c>
      <c r="J67" s="8">
        <v>0.5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1">
        <f t="shared" ref="Q67:Q69" si="16">SUM(K67:P67)</f>
        <v>0</v>
      </c>
      <c r="R67" s="1"/>
    </row>
    <row r="68" spans="1:18" x14ac:dyDescent="0.35">
      <c r="A68" s="9" t="s">
        <v>1</v>
      </c>
      <c r="B68">
        <v>60</v>
      </c>
      <c r="C68">
        <v>93</v>
      </c>
      <c r="D68">
        <v>63</v>
      </c>
      <c r="E68">
        <v>81</v>
      </c>
      <c r="F68">
        <v>90</v>
      </c>
      <c r="G68">
        <v>87</v>
      </c>
      <c r="H68" s="12">
        <f>SUM(B68:G68)</f>
        <v>474</v>
      </c>
      <c r="J68" s="9" t="s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">
        <f t="shared" si="16"/>
        <v>0</v>
      </c>
      <c r="R68" s="1"/>
    </row>
    <row r="69" spans="1:18" x14ac:dyDescent="0.35">
      <c r="A69" s="9" t="s">
        <v>2</v>
      </c>
      <c r="B69">
        <v>0</v>
      </c>
      <c r="H69" s="12">
        <f>SUM(B69:G69)</f>
        <v>0</v>
      </c>
      <c r="J69" s="9" t="s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">
        <f t="shared" si="16"/>
        <v>0</v>
      </c>
      <c r="R69" s="1"/>
    </row>
    <row r="70" spans="1:18" x14ac:dyDescent="0.35">
      <c r="B70" s="5">
        <f t="shared" ref="B70:G70" si="17">SUM(B66:B69)</f>
        <v>177</v>
      </c>
      <c r="C70" s="5">
        <f t="shared" si="17"/>
        <v>273</v>
      </c>
      <c r="D70" s="5">
        <f t="shared" si="17"/>
        <v>186</v>
      </c>
      <c r="E70" s="5">
        <f t="shared" si="17"/>
        <v>237</v>
      </c>
      <c r="F70" s="5">
        <f t="shared" si="17"/>
        <v>264</v>
      </c>
      <c r="G70" s="5">
        <f t="shared" si="17"/>
        <v>255</v>
      </c>
      <c r="O70" t="s">
        <v>10</v>
      </c>
    </row>
    <row r="72" spans="1:18" x14ac:dyDescent="0.35">
      <c r="F72" s="3">
        <v>46181</v>
      </c>
    </row>
    <row r="73" spans="1:18" x14ac:dyDescent="0.35">
      <c r="A73" s="9"/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  <c r="H73" s="1" t="s">
        <v>9</v>
      </c>
      <c r="J73" s="9"/>
      <c r="K73" t="s">
        <v>3</v>
      </c>
      <c r="L73" t="s">
        <v>4</v>
      </c>
      <c r="M73" t="s">
        <v>5</v>
      </c>
      <c r="N73" t="s">
        <v>6</v>
      </c>
      <c r="O73" t="s">
        <v>7</v>
      </c>
      <c r="P73" t="s">
        <v>8</v>
      </c>
      <c r="Q73" s="1" t="s">
        <v>9</v>
      </c>
      <c r="R73" s="1" t="s">
        <v>11</v>
      </c>
    </row>
    <row r="74" spans="1:18" x14ac:dyDescent="0.35">
      <c r="A74" s="8">
        <v>0.75</v>
      </c>
      <c r="B74">
        <v>90</v>
      </c>
      <c r="C74">
        <v>0</v>
      </c>
      <c r="H74" s="12">
        <f>SUM(B74:G74)</f>
        <v>90</v>
      </c>
      <c r="J74" s="8">
        <v>0.75</v>
      </c>
      <c r="K74">
        <v>74.39</v>
      </c>
      <c r="L74">
        <v>57</v>
      </c>
      <c r="M74">
        <v>46.07</v>
      </c>
      <c r="N74">
        <v>36</v>
      </c>
      <c r="Q74" s="1">
        <f>SUM(K74:P74)</f>
        <v>213.45999999999998</v>
      </c>
      <c r="R74" s="12">
        <f>Q74*1.4</f>
        <v>298.84399999999994</v>
      </c>
    </row>
    <row r="75" spans="1:18" x14ac:dyDescent="0.35">
      <c r="A75" s="8">
        <v>0.5</v>
      </c>
      <c r="B75">
        <v>72</v>
      </c>
      <c r="C75">
        <v>0</v>
      </c>
      <c r="G75" s="13"/>
      <c r="H75" s="12">
        <f>SUM(B75:G75)</f>
        <v>72</v>
      </c>
      <c r="J75" s="8">
        <v>0.5</v>
      </c>
      <c r="K75">
        <v>0</v>
      </c>
      <c r="L75">
        <v>0</v>
      </c>
      <c r="M75">
        <v>0</v>
      </c>
      <c r="N75">
        <v>0</v>
      </c>
      <c r="Q75" s="1">
        <f>SUM(K75:P75)</f>
        <v>0</v>
      </c>
      <c r="R75" s="1"/>
    </row>
    <row r="76" spans="1:18" x14ac:dyDescent="0.35">
      <c r="A76" s="9" t="s">
        <v>1</v>
      </c>
      <c r="B76">
        <v>84</v>
      </c>
      <c r="C76">
        <v>0</v>
      </c>
      <c r="H76" s="12">
        <f>SUM(B76:G76)</f>
        <v>84</v>
      </c>
      <c r="J76" s="9" t="s">
        <v>1</v>
      </c>
      <c r="K76">
        <v>0</v>
      </c>
      <c r="L76">
        <v>0</v>
      </c>
      <c r="M76">
        <v>0</v>
      </c>
      <c r="N76">
        <v>0</v>
      </c>
      <c r="Q76" s="1">
        <f t="shared" ref="Q76:Q77" si="18">SUM(K76:P76)</f>
        <v>0</v>
      </c>
      <c r="R76" s="1"/>
    </row>
    <row r="77" spans="1:18" x14ac:dyDescent="0.35">
      <c r="A77" s="9" t="s">
        <v>2</v>
      </c>
      <c r="C77">
        <v>0</v>
      </c>
      <c r="H77" s="12">
        <f>SUM(B77:G77)</f>
        <v>0</v>
      </c>
      <c r="J77" s="9" t="s">
        <v>2</v>
      </c>
      <c r="K77">
        <v>0</v>
      </c>
      <c r="L77">
        <v>0</v>
      </c>
      <c r="M77">
        <v>0</v>
      </c>
      <c r="N77">
        <v>0</v>
      </c>
      <c r="Q77" s="1">
        <f t="shared" si="18"/>
        <v>0</v>
      </c>
      <c r="R77" s="1"/>
    </row>
    <row r="78" spans="1:18" x14ac:dyDescent="0.35">
      <c r="B78" s="5">
        <f t="shared" ref="B78:G78" si="19">SUM(B74:B77)</f>
        <v>246</v>
      </c>
      <c r="C78" s="5">
        <f t="shared" si="19"/>
        <v>0</v>
      </c>
      <c r="D78" s="5">
        <f t="shared" si="19"/>
        <v>0</v>
      </c>
      <c r="E78" s="5">
        <f t="shared" si="19"/>
        <v>0</v>
      </c>
      <c r="F78" s="5">
        <f t="shared" si="19"/>
        <v>0</v>
      </c>
      <c r="G78" s="5">
        <f t="shared" si="19"/>
        <v>0</v>
      </c>
      <c r="O78" t="s">
        <v>10</v>
      </c>
    </row>
    <row r="80" spans="1:18" x14ac:dyDescent="0.35">
      <c r="F80" s="3">
        <v>46188</v>
      </c>
    </row>
    <row r="81" spans="1:18" x14ac:dyDescent="0.35">
      <c r="A81" s="9"/>
      <c r="B81" t="s">
        <v>3</v>
      </c>
      <c r="C81" t="s">
        <v>4</v>
      </c>
      <c r="D81" t="s">
        <v>5</v>
      </c>
      <c r="E81" t="s">
        <v>6</v>
      </c>
      <c r="F81" t="s">
        <v>7</v>
      </c>
      <c r="G81" t="s">
        <v>8</v>
      </c>
      <c r="H81" s="1" t="s">
        <v>9</v>
      </c>
      <c r="J81" s="9"/>
      <c r="K81" t="s">
        <v>3</v>
      </c>
      <c r="L81" t="s">
        <v>4</v>
      </c>
      <c r="M81" t="s">
        <v>5</v>
      </c>
      <c r="N81" t="s">
        <v>6</v>
      </c>
      <c r="O81" t="s">
        <v>7</v>
      </c>
      <c r="P81" t="s">
        <v>8</v>
      </c>
      <c r="Q81" s="1" t="s">
        <v>9</v>
      </c>
      <c r="R81" s="1" t="s">
        <v>11</v>
      </c>
    </row>
    <row r="82" spans="1:18" x14ac:dyDescent="0.35">
      <c r="A82" s="8">
        <v>0.75</v>
      </c>
      <c r="E82">
        <v>102</v>
      </c>
      <c r="F82">
        <v>99</v>
      </c>
      <c r="H82" s="12">
        <f>SUM(B82:G82)</f>
        <v>201</v>
      </c>
      <c r="J82" s="8">
        <v>0.75</v>
      </c>
      <c r="K82">
        <v>73.64</v>
      </c>
      <c r="N82">
        <v>74.209999999999994</v>
      </c>
      <c r="P82">
        <v>64.290000000000006</v>
      </c>
      <c r="Q82" s="1">
        <f>SUM(K82:P82)</f>
        <v>212.14</v>
      </c>
      <c r="R82" s="12">
        <f>Q82*1.4</f>
        <v>296.99599999999998</v>
      </c>
    </row>
    <row r="83" spans="1:18" x14ac:dyDescent="0.35">
      <c r="A83" s="8">
        <v>0.5</v>
      </c>
      <c r="E83">
        <v>84</v>
      </c>
      <c r="F83">
        <v>81</v>
      </c>
      <c r="H83" s="12">
        <f>SUM(B83:G83)</f>
        <v>165</v>
      </c>
      <c r="J83" s="8">
        <v>0.5</v>
      </c>
      <c r="Q83" s="1">
        <f t="shared" ref="Q83:Q85" si="20">SUM(K83:P83)</f>
        <v>0</v>
      </c>
      <c r="R83" s="1"/>
    </row>
    <row r="84" spans="1:18" x14ac:dyDescent="0.35">
      <c r="A84" s="9" t="s">
        <v>1</v>
      </c>
      <c r="E84">
        <v>96</v>
      </c>
      <c r="F84">
        <v>93</v>
      </c>
      <c r="H84" s="12">
        <f>SUM(B84:G84)</f>
        <v>189</v>
      </c>
      <c r="J84" s="9" t="s">
        <v>1</v>
      </c>
      <c r="Q84" s="1">
        <f t="shared" si="20"/>
        <v>0</v>
      </c>
      <c r="R84" s="1"/>
    </row>
    <row r="85" spans="1:18" x14ac:dyDescent="0.35">
      <c r="A85" s="9" t="s">
        <v>2</v>
      </c>
      <c r="H85" s="12">
        <f>SUM(B85:G85)</f>
        <v>0</v>
      </c>
      <c r="J85" s="9" t="s">
        <v>2</v>
      </c>
      <c r="O85" t="s">
        <v>10</v>
      </c>
      <c r="Q85" s="1">
        <f t="shared" si="20"/>
        <v>0</v>
      </c>
      <c r="R85" s="1"/>
    </row>
    <row r="86" spans="1:18" x14ac:dyDescent="0.35">
      <c r="B86" s="5">
        <f t="shared" ref="B86:G86" si="21">SUM(B82:B85)</f>
        <v>0</v>
      </c>
      <c r="C86" s="5">
        <f t="shared" si="21"/>
        <v>0</v>
      </c>
      <c r="D86" s="5">
        <f t="shared" si="21"/>
        <v>0</v>
      </c>
      <c r="E86" s="5">
        <f t="shared" si="21"/>
        <v>282</v>
      </c>
      <c r="F86" s="5">
        <f t="shared" si="21"/>
        <v>273</v>
      </c>
      <c r="G86" s="5">
        <f t="shared" si="21"/>
        <v>0</v>
      </c>
      <c r="O86" t="s">
        <v>10</v>
      </c>
    </row>
    <row r="88" spans="1:18" x14ac:dyDescent="0.35">
      <c r="F88" s="3">
        <v>46195</v>
      </c>
    </row>
    <row r="89" spans="1:18" x14ac:dyDescent="0.35">
      <c r="A89" s="9"/>
      <c r="B89" t="s">
        <v>3</v>
      </c>
      <c r="C89" t="s">
        <v>4</v>
      </c>
      <c r="D89" t="s">
        <v>5</v>
      </c>
      <c r="E89" t="s">
        <v>6</v>
      </c>
      <c r="F89" t="s">
        <v>7</v>
      </c>
      <c r="G89" t="s">
        <v>8</v>
      </c>
      <c r="H89" s="1" t="s">
        <v>9</v>
      </c>
      <c r="J89" s="9"/>
      <c r="K89" t="s">
        <v>3</v>
      </c>
      <c r="L89" t="s">
        <v>4</v>
      </c>
      <c r="M89" t="s">
        <v>5</v>
      </c>
      <c r="N89" t="s">
        <v>6</v>
      </c>
      <c r="O89" t="s">
        <v>7</v>
      </c>
      <c r="P89" t="s">
        <v>8</v>
      </c>
      <c r="Q89" s="1" t="s">
        <v>9</v>
      </c>
      <c r="R89" s="1" t="s">
        <v>11</v>
      </c>
    </row>
    <row r="90" spans="1:18" x14ac:dyDescent="0.35">
      <c r="A90" s="8">
        <v>0.75</v>
      </c>
      <c r="H90" s="12">
        <f>SUM(B90:G90)</f>
        <v>0</v>
      </c>
      <c r="J90" s="8">
        <v>0.75</v>
      </c>
      <c r="L90">
        <v>77.14</v>
      </c>
      <c r="O90">
        <v>74.290000000000006</v>
      </c>
      <c r="Q90" s="1">
        <f>SUM(K90:P90)</f>
        <v>151.43</v>
      </c>
      <c r="R90" s="12">
        <f>Q90*1.4</f>
        <v>212.00200000000001</v>
      </c>
    </row>
    <row r="91" spans="1:18" x14ac:dyDescent="0.35">
      <c r="A91" s="8">
        <v>0.5</v>
      </c>
      <c r="H91" s="12">
        <f>SUM(B91:G91)</f>
        <v>0</v>
      </c>
      <c r="J91" s="8">
        <v>0.5</v>
      </c>
      <c r="Q91" s="1">
        <f t="shared" ref="Q91:Q93" si="22">SUM(K91:P91)</f>
        <v>0</v>
      </c>
      <c r="R91" s="1"/>
    </row>
    <row r="92" spans="1:18" x14ac:dyDescent="0.35">
      <c r="A92" s="9" t="s">
        <v>1</v>
      </c>
      <c r="H92" s="12">
        <f>SUM(B92:G92)</f>
        <v>0</v>
      </c>
      <c r="J92" s="9" t="s">
        <v>1</v>
      </c>
      <c r="Q92" s="1">
        <f t="shared" si="22"/>
        <v>0</v>
      </c>
      <c r="R92" s="1"/>
    </row>
    <row r="93" spans="1:18" x14ac:dyDescent="0.35">
      <c r="A93" s="9" t="s">
        <v>2</v>
      </c>
      <c r="B93">
        <v>270</v>
      </c>
      <c r="C93">
        <v>288</v>
      </c>
      <c r="D93">
        <v>282</v>
      </c>
      <c r="E93">
        <v>306</v>
      </c>
      <c r="F93">
        <v>300</v>
      </c>
      <c r="G93">
        <v>225</v>
      </c>
      <c r="H93" s="12">
        <f>SUM(B93:G93)</f>
        <v>1671</v>
      </c>
      <c r="J93" s="9" t="s">
        <v>2</v>
      </c>
      <c r="O93" t="s">
        <v>10</v>
      </c>
      <c r="Q93" s="1">
        <f t="shared" si="22"/>
        <v>0</v>
      </c>
      <c r="R93" s="1"/>
    </row>
    <row r="94" spans="1:18" x14ac:dyDescent="0.35">
      <c r="B94" s="5">
        <f t="shared" ref="B94:G94" si="23">SUM(B90:B93)</f>
        <v>270</v>
      </c>
      <c r="C94" s="5">
        <f t="shared" si="23"/>
        <v>288</v>
      </c>
      <c r="D94" s="5">
        <f t="shared" si="23"/>
        <v>282</v>
      </c>
      <c r="E94" s="5">
        <f t="shared" si="23"/>
        <v>306</v>
      </c>
      <c r="F94" s="5">
        <f t="shared" si="23"/>
        <v>300</v>
      </c>
      <c r="G94" s="5">
        <f t="shared" si="23"/>
        <v>225</v>
      </c>
      <c r="O94" t="s">
        <v>10</v>
      </c>
    </row>
    <row r="96" spans="1:18" x14ac:dyDescent="0.35">
      <c r="F96" s="3">
        <v>46202</v>
      </c>
    </row>
    <row r="97" spans="1:18" x14ac:dyDescent="0.35">
      <c r="A97" s="9"/>
      <c r="B97" t="s">
        <v>3</v>
      </c>
      <c r="C97" t="s">
        <v>4</v>
      </c>
      <c r="D97" t="s">
        <v>5</v>
      </c>
      <c r="E97" t="s">
        <v>6</v>
      </c>
      <c r="F97" t="s">
        <v>7</v>
      </c>
      <c r="G97" t="s">
        <v>8</v>
      </c>
      <c r="H97" s="1" t="s">
        <v>9</v>
      </c>
      <c r="J97" s="9"/>
      <c r="K97" t="s">
        <v>3</v>
      </c>
      <c r="L97" t="s">
        <v>4</v>
      </c>
      <c r="M97" t="s">
        <v>5</v>
      </c>
      <c r="N97" t="s">
        <v>6</v>
      </c>
      <c r="O97" t="s">
        <v>7</v>
      </c>
      <c r="P97" t="s">
        <v>8</v>
      </c>
      <c r="Q97" s="1" t="s">
        <v>9</v>
      </c>
      <c r="R97" s="1" t="s">
        <v>11</v>
      </c>
    </row>
    <row r="98" spans="1:18" x14ac:dyDescent="0.35">
      <c r="A98" s="8">
        <v>0.75</v>
      </c>
      <c r="H98" s="12">
        <f>SUM(B98:G98)</f>
        <v>0</v>
      </c>
      <c r="J98" s="8">
        <v>0.75</v>
      </c>
      <c r="K98" s="11">
        <f>82/1.4</f>
        <v>58.571428571428577</v>
      </c>
      <c r="L98" s="11">
        <f>82/1.4</f>
        <v>58.571428571428577</v>
      </c>
      <c r="M98" s="11"/>
      <c r="N98" s="11">
        <f>86/1.4</f>
        <v>61.428571428571431</v>
      </c>
      <c r="O98">
        <v>17.850000000000001</v>
      </c>
      <c r="P98" s="14">
        <f>84/1.4</f>
        <v>60.000000000000007</v>
      </c>
      <c r="Q98" s="12">
        <f>SUM(K98:O98)</f>
        <v>196.42142857142858</v>
      </c>
      <c r="R98" s="1">
        <f>Q98*1.4</f>
        <v>274.99</v>
      </c>
    </row>
    <row r="99" spans="1:18" x14ac:dyDescent="0.35">
      <c r="A99" s="8">
        <v>0.5</v>
      </c>
      <c r="H99" s="12">
        <f>SUM(B99:G99)</f>
        <v>0</v>
      </c>
      <c r="J99" s="8">
        <v>0.5</v>
      </c>
      <c r="Q99" s="1">
        <f t="shared" ref="Q99:Q101" si="24">SUM(K99:P99)</f>
        <v>0</v>
      </c>
      <c r="R99" s="1"/>
    </row>
    <row r="100" spans="1:18" x14ac:dyDescent="0.35">
      <c r="A100" s="9" t="s">
        <v>1</v>
      </c>
      <c r="H100" s="12">
        <f>SUM(B100:G100)</f>
        <v>0</v>
      </c>
      <c r="J100" s="9" t="s">
        <v>1</v>
      </c>
      <c r="Q100" s="1">
        <f t="shared" si="24"/>
        <v>0</v>
      </c>
      <c r="R100" s="1"/>
    </row>
    <row r="101" spans="1:18" x14ac:dyDescent="0.35">
      <c r="A101" s="9" t="s">
        <v>2</v>
      </c>
      <c r="B101">
        <v>240</v>
      </c>
      <c r="C101">
        <v>204</v>
      </c>
      <c r="D101">
        <v>250</v>
      </c>
      <c r="E101">
        <v>288</v>
      </c>
      <c r="F101">
        <v>80</v>
      </c>
      <c r="H101" s="12">
        <f>SUM(B101:G101)</f>
        <v>1062</v>
      </c>
      <c r="J101" s="9" t="s">
        <v>2</v>
      </c>
      <c r="O101" t="s">
        <v>10</v>
      </c>
      <c r="Q101" s="1">
        <f t="shared" si="24"/>
        <v>0</v>
      </c>
      <c r="R101" s="1"/>
    </row>
    <row r="102" spans="1:18" x14ac:dyDescent="0.35">
      <c r="B102" s="5">
        <f t="shared" ref="B102:G102" si="25">SUM(B98:B101)</f>
        <v>240</v>
      </c>
      <c r="C102" s="5">
        <f t="shared" si="25"/>
        <v>204</v>
      </c>
      <c r="D102" s="5">
        <f t="shared" si="25"/>
        <v>250</v>
      </c>
      <c r="E102" s="5">
        <f t="shared" si="25"/>
        <v>288</v>
      </c>
      <c r="F102" s="5">
        <f t="shared" si="25"/>
        <v>80</v>
      </c>
      <c r="G102" s="5">
        <f t="shared" si="25"/>
        <v>0</v>
      </c>
      <c r="O102" t="s">
        <v>10</v>
      </c>
    </row>
    <row r="105" spans="1:18" x14ac:dyDescent="0.35">
      <c r="F105" s="3">
        <v>46209</v>
      </c>
    </row>
    <row r="106" spans="1:18" x14ac:dyDescent="0.35">
      <c r="A106" s="9"/>
      <c r="B106" t="s">
        <v>3</v>
      </c>
      <c r="C106" t="s">
        <v>4</v>
      </c>
      <c r="D106" t="s">
        <v>5</v>
      </c>
      <c r="E106" t="s">
        <v>6</v>
      </c>
      <c r="F106" t="s">
        <v>7</v>
      </c>
      <c r="G106" t="s">
        <v>8</v>
      </c>
      <c r="H106" s="1" t="s">
        <v>9</v>
      </c>
      <c r="J106" s="9"/>
      <c r="K106" t="s">
        <v>3</v>
      </c>
      <c r="L106" t="s">
        <v>4</v>
      </c>
      <c r="M106" t="s">
        <v>5</v>
      </c>
      <c r="N106" t="s">
        <v>6</v>
      </c>
      <c r="O106" t="s">
        <v>7</v>
      </c>
      <c r="P106" t="s">
        <v>8</v>
      </c>
      <c r="Q106" s="1" t="s">
        <v>9</v>
      </c>
      <c r="R106" s="1" t="s">
        <v>11</v>
      </c>
    </row>
    <row r="107" spans="1:18" x14ac:dyDescent="0.35">
      <c r="A107" s="8">
        <v>0.75</v>
      </c>
      <c r="H107" s="12">
        <f>SUM(B107:G107)</f>
        <v>0</v>
      </c>
      <c r="J107" s="8">
        <v>0.75</v>
      </c>
      <c r="K107" s="11">
        <f>64/1.4</f>
        <v>45.714285714285715</v>
      </c>
      <c r="M107" s="11">
        <f>SUM(86/1.4,28,17.5)</f>
        <v>106.92857142857143</v>
      </c>
      <c r="N107">
        <f>SUM(84,25)</f>
        <v>109</v>
      </c>
      <c r="O107" s="11">
        <f>SUM(3.2/1.4,86/1.4,35)</f>
        <v>98.714285714285722</v>
      </c>
      <c r="Q107" s="12">
        <f>P98+K107+L107+M107+N107+O107+P107</f>
        <v>420.35714285714289</v>
      </c>
      <c r="R107" s="12">
        <f>Q107*1.4</f>
        <v>588.5</v>
      </c>
    </row>
    <row r="108" spans="1:18" x14ac:dyDescent="0.35">
      <c r="A108" s="8">
        <v>0.5</v>
      </c>
      <c r="H108" s="12">
        <f>SUM(B108:G108)</f>
        <v>0</v>
      </c>
      <c r="J108" s="8">
        <v>0.5</v>
      </c>
      <c r="Q108" s="1">
        <f t="shared" ref="Q108:Q110" si="26">SUM(K108:P108)</f>
        <v>0</v>
      </c>
      <c r="R108" s="12">
        <f>Q108*1.4</f>
        <v>0</v>
      </c>
    </row>
    <row r="109" spans="1:18" x14ac:dyDescent="0.35">
      <c r="A109" s="9" t="s">
        <v>1</v>
      </c>
      <c r="H109" s="12">
        <f>SUM(B109:G109)</f>
        <v>0</v>
      </c>
      <c r="J109" s="9" t="s">
        <v>1</v>
      </c>
      <c r="Q109" s="1">
        <f t="shared" si="26"/>
        <v>0</v>
      </c>
      <c r="R109" s="1"/>
    </row>
    <row r="110" spans="1:18" x14ac:dyDescent="0.35">
      <c r="A110" s="9" t="s">
        <v>2</v>
      </c>
      <c r="B110">
        <v>270</v>
      </c>
      <c r="C110">
        <v>190</v>
      </c>
      <c r="D110">
        <v>150</v>
      </c>
      <c r="E110">
        <v>288</v>
      </c>
      <c r="F110">
        <v>255</v>
      </c>
      <c r="H110" s="12">
        <f>SUM(B110:G110)</f>
        <v>1153</v>
      </c>
      <c r="J110" s="9" t="s">
        <v>2</v>
      </c>
      <c r="O110" t="s">
        <v>10</v>
      </c>
      <c r="Q110" s="1">
        <f t="shared" si="26"/>
        <v>0</v>
      </c>
      <c r="R110" s="1"/>
    </row>
    <row r="111" spans="1:18" x14ac:dyDescent="0.35">
      <c r="B111" s="5">
        <f t="shared" ref="B111:G111" si="27">SUM(B107:B110)</f>
        <v>270</v>
      </c>
      <c r="C111" s="5">
        <f t="shared" si="27"/>
        <v>190</v>
      </c>
      <c r="D111" s="5">
        <f t="shared" si="27"/>
        <v>150</v>
      </c>
      <c r="E111" s="5">
        <f t="shared" si="27"/>
        <v>288</v>
      </c>
      <c r="F111" s="5">
        <f t="shared" si="27"/>
        <v>255</v>
      </c>
      <c r="G111" s="5">
        <f t="shared" si="27"/>
        <v>0</v>
      </c>
      <c r="O111" t="s">
        <v>10</v>
      </c>
    </row>
    <row r="113" spans="1:18" x14ac:dyDescent="0.35">
      <c r="F113" s="3">
        <v>46216</v>
      </c>
    </row>
    <row r="114" spans="1:18" x14ac:dyDescent="0.35">
      <c r="A114" s="9"/>
      <c r="B114" t="s">
        <v>3</v>
      </c>
      <c r="C114" t="s">
        <v>4</v>
      </c>
      <c r="D114" t="s">
        <v>5</v>
      </c>
      <c r="E114" t="s">
        <v>6</v>
      </c>
      <c r="F114" t="s">
        <v>7</v>
      </c>
      <c r="G114" t="s">
        <v>8</v>
      </c>
      <c r="H114" s="1" t="s">
        <v>9</v>
      </c>
      <c r="J114" s="9"/>
      <c r="K114" t="s">
        <v>3</v>
      </c>
      <c r="L114" t="s">
        <v>4</v>
      </c>
      <c r="M114" t="s">
        <v>5</v>
      </c>
      <c r="N114" t="s">
        <v>6</v>
      </c>
      <c r="O114" t="s">
        <v>7</v>
      </c>
      <c r="P114" t="s">
        <v>8</v>
      </c>
      <c r="Q114" s="1" t="s">
        <v>9</v>
      </c>
      <c r="R114" s="1" t="s">
        <v>11</v>
      </c>
    </row>
    <row r="115" spans="1:18" x14ac:dyDescent="0.35">
      <c r="A115" s="8">
        <v>0.75</v>
      </c>
      <c r="H115" s="12">
        <f>SUM(B115:G115)</f>
        <v>0</v>
      </c>
      <c r="J115" s="8">
        <v>0.75</v>
      </c>
      <c r="K115" s="11">
        <v>75</v>
      </c>
      <c r="L115">
        <v>52.5</v>
      </c>
      <c r="M115" s="11"/>
      <c r="N115">
        <v>61.43</v>
      </c>
      <c r="O115" s="11">
        <v>14</v>
      </c>
      <c r="P115">
        <v>75</v>
      </c>
      <c r="Q115" s="12">
        <f>SUM(K115:P115)</f>
        <v>277.93</v>
      </c>
      <c r="R115" s="12">
        <f>Q115*1.4</f>
        <v>389.10199999999998</v>
      </c>
    </row>
    <row r="116" spans="1:18" x14ac:dyDescent="0.35">
      <c r="A116" s="8">
        <v>0.5</v>
      </c>
      <c r="H116" s="12">
        <f>SUM(B116:G116)</f>
        <v>0</v>
      </c>
      <c r="J116" s="8">
        <v>0.5</v>
      </c>
      <c r="Q116" s="1">
        <f>SUM(K116:P116)</f>
        <v>0</v>
      </c>
      <c r="R116" s="12">
        <f>Q116*1.4</f>
        <v>0</v>
      </c>
    </row>
    <row r="117" spans="1:18" x14ac:dyDescent="0.35">
      <c r="A117" s="9" t="s">
        <v>1</v>
      </c>
      <c r="H117" s="12">
        <f>SUM(B117:G117)</f>
        <v>0</v>
      </c>
      <c r="J117" s="9" t="s">
        <v>1</v>
      </c>
      <c r="Q117" s="1">
        <f t="shared" ref="Q117:Q118" si="28">SUM(K117:P117)</f>
        <v>0</v>
      </c>
      <c r="R117" s="1"/>
    </row>
    <row r="118" spans="1:18" x14ac:dyDescent="0.35">
      <c r="A118" s="9" t="s">
        <v>2</v>
      </c>
      <c r="H118" s="12">
        <f>SUM(B118:G118)</f>
        <v>0</v>
      </c>
      <c r="J118" s="9" t="s">
        <v>2</v>
      </c>
      <c r="Q118" s="1">
        <f t="shared" si="28"/>
        <v>0</v>
      </c>
      <c r="R118" s="1"/>
    </row>
    <row r="119" spans="1:18" x14ac:dyDescent="0.35">
      <c r="B119" s="5">
        <f t="shared" ref="B119:G119" si="29">SUM(B115:B118)</f>
        <v>0</v>
      </c>
      <c r="C119" s="5">
        <f t="shared" si="29"/>
        <v>0</v>
      </c>
      <c r="D119" s="5">
        <f t="shared" si="29"/>
        <v>0</v>
      </c>
      <c r="E119" s="5">
        <f t="shared" si="29"/>
        <v>0</v>
      </c>
      <c r="F119" s="5">
        <f t="shared" si="29"/>
        <v>0</v>
      </c>
      <c r="G119" s="5">
        <f t="shared" si="29"/>
        <v>0</v>
      </c>
    </row>
    <row r="121" spans="1:18" x14ac:dyDescent="0.35">
      <c r="F121" s="3">
        <v>46223</v>
      </c>
    </row>
    <row r="122" spans="1:18" x14ac:dyDescent="0.35">
      <c r="A122" s="9"/>
      <c r="B122" t="s">
        <v>3</v>
      </c>
      <c r="C122" t="s">
        <v>4</v>
      </c>
      <c r="D122" t="s">
        <v>5</v>
      </c>
      <c r="E122" t="s">
        <v>6</v>
      </c>
      <c r="F122" t="s">
        <v>7</v>
      </c>
      <c r="G122" t="s">
        <v>8</v>
      </c>
      <c r="H122" s="1" t="s">
        <v>9</v>
      </c>
      <c r="J122" s="9"/>
      <c r="K122" t="s">
        <v>3</v>
      </c>
      <c r="L122" t="s">
        <v>4</v>
      </c>
      <c r="M122" t="s">
        <v>5</v>
      </c>
      <c r="N122" t="s">
        <v>6</v>
      </c>
      <c r="O122" t="s">
        <v>7</v>
      </c>
      <c r="P122" t="s">
        <v>8</v>
      </c>
      <c r="Q122" s="1" t="s">
        <v>9</v>
      </c>
      <c r="R122" s="1" t="s">
        <v>11</v>
      </c>
    </row>
    <row r="123" spans="1:18" x14ac:dyDescent="0.35">
      <c r="A123" s="8">
        <v>0.75</v>
      </c>
      <c r="H123" s="12">
        <f>SUM(B123:G123)</f>
        <v>0</v>
      </c>
      <c r="J123" s="8">
        <v>0.75</v>
      </c>
      <c r="K123" s="11"/>
      <c r="M123" s="11"/>
      <c r="N123" s="11">
        <f>83/1.4</f>
        <v>59.285714285714292</v>
      </c>
      <c r="O123" s="11">
        <f>19.6/1.4</f>
        <v>14.000000000000002</v>
      </c>
      <c r="Q123" s="12">
        <f>SUM(K123:P123)</f>
        <v>73.285714285714292</v>
      </c>
      <c r="R123" s="12">
        <f>Q123*1.4</f>
        <v>102.60000000000001</v>
      </c>
    </row>
    <row r="124" spans="1:18" x14ac:dyDescent="0.35">
      <c r="A124" s="8">
        <v>0.5</v>
      </c>
      <c r="H124" s="12">
        <f>SUM(B124:G124)</f>
        <v>0</v>
      </c>
      <c r="J124" s="8">
        <v>0.5</v>
      </c>
      <c r="M124">
        <v>15</v>
      </c>
      <c r="N124">
        <v>60</v>
      </c>
      <c r="Q124" s="1">
        <f>SUM(L124:P124)</f>
        <v>75</v>
      </c>
      <c r="R124" s="12">
        <f>Q124*1.4</f>
        <v>105</v>
      </c>
    </row>
    <row r="125" spans="1:18" x14ac:dyDescent="0.35">
      <c r="A125" s="9" t="s">
        <v>1</v>
      </c>
      <c r="H125" s="12">
        <f>SUM(B125:G125)</f>
        <v>0</v>
      </c>
      <c r="J125" s="9" t="s">
        <v>1</v>
      </c>
      <c r="N125">
        <v>150</v>
      </c>
      <c r="Q125" s="1">
        <f t="shared" ref="Q125:Q126" si="30">SUM(K125:P125)</f>
        <v>150</v>
      </c>
      <c r="R125" s="12">
        <f>Q125*1.5</f>
        <v>225</v>
      </c>
    </row>
    <row r="126" spans="1:18" x14ac:dyDescent="0.35">
      <c r="A126" s="9" t="s">
        <v>2</v>
      </c>
      <c r="B126">
        <v>96</v>
      </c>
      <c r="C126">
        <v>240</v>
      </c>
      <c r="D126">
        <v>290</v>
      </c>
      <c r="E126">
        <v>288</v>
      </c>
      <c r="F126">
        <v>300</v>
      </c>
      <c r="G126">
        <v>290</v>
      </c>
      <c r="H126" s="12">
        <f t="shared" ref="H126" si="31">SUM(B126:G126)</f>
        <v>1504</v>
      </c>
      <c r="J126" s="9" t="s">
        <v>2</v>
      </c>
      <c r="Q126" s="1">
        <f t="shared" si="30"/>
        <v>0</v>
      </c>
      <c r="R126" s="12">
        <f>Q126*1.69</f>
        <v>0</v>
      </c>
    </row>
    <row r="127" spans="1:18" x14ac:dyDescent="0.35">
      <c r="B127" s="5">
        <f>SUM(B123:B126)</f>
        <v>96</v>
      </c>
      <c r="C127" s="5">
        <f t="shared" ref="C127:G127" si="32">SUM(C123:C126)</f>
        <v>240</v>
      </c>
      <c r="D127" s="5">
        <f t="shared" si="32"/>
        <v>290</v>
      </c>
      <c r="E127" s="5">
        <f t="shared" si="32"/>
        <v>288</v>
      </c>
      <c r="F127" s="5">
        <f t="shared" si="32"/>
        <v>300</v>
      </c>
      <c r="G127" s="5">
        <f t="shared" si="32"/>
        <v>290</v>
      </c>
      <c r="R127" s="11"/>
    </row>
    <row r="129" spans="1:18" x14ac:dyDescent="0.35">
      <c r="F129" s="3">
        <v>46230</v>
      </c>
    </row>
    <row r="130" spans="1:18" x14ac:dyDescent="0.35">
      <c r="A130" s="9"/>
      <c r="B130" t="s">
        <v>3</v>
      </c>
      <c r="C130" t="s">
        <v>4</v>
      </c>
      <c r="D130" t="s">
        <v>5</v>
      </c>
      <c r="E130" t="s">
        <v>6</v>
      </c>
      <c r="F130" t="s">
        <v>7</v>
      </c>
      <c r="G130" t="s">
        <v>8</v>
      </c>
      <c r="H130" s="1" t="s">
        <v>9</v>
      </c>
      <c r="J130" s="9"/>
      <c r="K130" t="s">
        <v>3</v>
      </c>
      <c r="L130" t="s">
        <v>4</v>
      </c>
      <c r="M130" t="s">
        <v>5</v>
      </c>
      <c r="N130" t="s">
        <v>6</v>
      </c>
      <c r="O130" t="s">
        <v>7</v>
      </c>
      <c r="P130" t="s">
        <v>8</v>
      </c>
      <c r="Q130" s="1" t="s">
        <v>9</v>
      </c>
      <c r="R130" s="1" t="s">
        <v>11</v>
      </c>
    </row>
    <row r="131" spans="1:18" x14ac:dyDescent="0.35">
      <c r="A131" s="8">
        <v>0.75</v>
      </c>
      <c r="H131" s="12">
        <f>SUM(B131:G131)</f>
        <v>0</v>
      </c>
      <c r="J131" s="8">
        <v>0.75</v>
      </c>
      <c r="K131" s="11"/>
      <c r="M131" s="11">
        <f>SUM(28.57,14,25.57)</f>
        <v>68.14</v>
      </c>
      <c r="N131" s="11"/>
      <c r="O131" s="11">
        <v>28.57</v>
      </c>
      <c r="Q131" s="12">
        <f>SUM(K131:P131)</f>
        <v>96.710000000000008</v>
      </c>
      <c r="R131" s="12">
        <f>Q131*1.4</f>
        <v>135.39400000000001</v>
      </c>
    </row>
    <row r="132" spans="1:18" x14ac:dyDescent="0.35">
      <c r="A132" s="8">
        <v>0.5</v>
      </c>
      <c r="H132" s="12">
        <f t="shared" ref="H132" si="33">SUM(B132:G132)</f>
        <v>0</v>
      </c>
      <c r="J132" s="8">
        <v>0.5</v>
      </c>
      <c r="Q132" s="12">
        <f>SUM(K132:P132)</f>
        <v>0</v>
      </c>
      <c r="R132" s="12">
        <f>Q132*1.4</f>
        <v>0</v>
      </c>
    </row>
    <row r="133" spans="1:18" x14ac:dyDescent="0.35">
      <c r="A133" s="9" t="s">
        <v>1</v>
      </c>
      <c r="H133" s="12">
        <f>SUM(B133:G133)</f>
        <v>0</v>
      </c>
      <c r="J133" s="9" t="s">
        <v>1</v>
      </c>
      <c r="Q133" s="12">
        <f>SUM(K133:P133)</f>
        <v>0</v>
      </c>
      <c r="R133" s="12">
        <f>Q133*1.5</f>
        <v>0</v>
      </c>
    </row>
    <row r="134" spans="1:18" x14ac:dyDescent="0.35">
      <c r="A134" s="9" t="s">
        <v>2</v>
      </c>
      <c r="B134">
        <v>294</v>
      </c>
      <c r="C134">
        <v>50</v>
      </c>
      <c r="D134">
        <v>270</v>
      </c>
      <c r="H134" s="12">
        <f>SUM(B134:G134)</f>
        <v>614</v>
      </c>
      <c r="J134" s="9" t="s">
        <v>2</v>
      </c>
      <c r="Q134" s="12">
        <f>SUM(K134:P134)</f>
        <v>0</v>
      </c>
      <c r="R134" s="12">
        <f>Q134*1.69</f>
        <v>0</v>
      </c>
    </row>
    <row r="135" spans="1:18" x14ac:dyDescent="0.35">
      <c r="B135" s="5">
        <f>SUM(B131:B134)</f>
        <v>294</v>
      </c>
      <c r="C135" s="5">
        <f t="shared" ref="C135:G135" si="34">SUM(C131:C134)</f>
        <v>50</v>
      </c>
      <c r="D135" s="5">
        <f t="shared" si="34"/>
        <v>270</v>
      </c>
      <c r="E135" s="5">
        <f t="shared" si="34"/>
        <v>0</v>
      </c>
      <c r="F135" s="5">
        <f t="shared" si="34"/>
        <v>0</v>
      </c>
      <c r="G135" s="5">
        <f t="shared" si="34"/>
        <v>0</v>
      </c>
      <c r="R135" s="11"/>
    </row>
    <row r="137" spans="1:18" x14ac:dyDescent="0.35">
      <c r="F137" s="3">
        <v>46237</v>
      </c>
    </row>
    <row r="138" spans="1:18" x14ac:dyDescent="0.35">
      <c r="A138" s="9"/>
      <c r="B138" t="s">
        <v>3</v>
      </c>
      <c r="C138" t="s">
        <v>4</v>
      </c>
      <c r="D138" t="s">
        <v>5</v>
      </c>
      <c r="E138" t="s">
        <v>6</v>
      </c>
      <c r="F138" t="s">
        <v>7</v>
      </c>
      <c r="G138" t="s">
        <v>8</v>
      </c>
      <c r="H138" s="1" t="s">
        <v>9</v>
      </c>
      <c r="J138" s="9"/>
      <c r="K138" t="s">
        <v>3</v>
      </c>
      <c r="L138" t="s">
        <v>4</v>
      </c>
      <c r="M138" t="s">
        <v>5</v>
      </c>
      <c r="N138" t="s">
        <v>6</v>
      </c>
      <c r="O138" t="s">
        <v>7</v>
      </c>
      <c r="P138" t="s">
        <v>8</v>
      </c>
      <c r="Q138" s="1" t="s">
        <v>9</v>
      </c>
      <c r="R138" s="1" t="s">
        <v>11</v>
      </c>
    </row>
    <row r="139" spans="1:18" x14ac:dyDescent="0.35">
      <c r="A139" s="8">
        <v>0.75</v>
      </c>
      <c r="H139" s="12">
        <f>SUM(B139:G139)</f>
        <v>0</v>
      </c>
      <c r="J139" s="8">
        <v>0.75</v>
      </c>
      <c r="K139" s="11"/>
      <c r="M139" s="11"/>
      <c r="N139" s="11"/>
      <c r="O139" s="11"/>
      <c r="Q139" s="12">
        <f>SUM(K139:P139)</f>
        <v>0</v>
      </c>
      <c r="R139" s="12">
        <f>Q139*1.4</f>
        <v>0</v>
      </c>
    </row>
    <row r="140" spans="1:18" x14ac:dyDescent="0.35">
      <c r="A140" s="8">
        <v>0.5</v>
      </c>
      <c r="H140" s="12">
        <f t="shared" ref="H140" si="35">SUM(B140:G140)</f>
        <v>0</v>
      </c>
      <c r="J140" s="8">
        <v>0.5</v>
      </c>
      <c r="Q140" s="12">
        <f>SUM(K140:P140)</f>
        <v>0</v>
      </c>
      <c r="R140" s="12">
        <f>Q140*1.4</f>
        <v>0</v>
      </c>
    </row>
    <row r="141" spans="1:18" x14ac:dyDescent="0.35">
      <c r="A141" s="9" t="s">
        <v>1</v>
      </c>
      <c r="H141" s="12">
        <f>SUM(B141:G141)</f>
        <v>0</v>
      </c>
      <c r="J141" s="9" t="s">
        <v>1</v>
      </c>
      <c r="Q141" s="12">
        <f>SUM(K141:P141)</f>
        <v>0</v>
      </c>
      <c r="R141" s="12">
        <f>Q141*1.5</f>
        <v>0</v>
      </c>
    </row>
    <row r="142" spans="1:18" x14ac:dyDescent="0.35">
      <c r="A142" s="9" t="s">
        <v>2</v>
      </c>
      <c r="B142">
        <v>204</v>
      </c>
      <c r="C142">
        <v>291</v>
      </c>
      <c r="D142">
        <v>288</v>
      </c>
      <c r="E142">
        <v>294</v>
      </c>
      <c r="H142" s="12">
        <f>SUM(B142:G142)</f>
        <v>1077</v>
      </c>
      <c r="J142" s="9" t="s">
        <v>2</v>
      </c>
      <c r="Q142" s="12">
        <f>SUM(K142:P142)</f>
        <v>0</v>
      </c>
      <c r="R142" s="12">
        <f>Q142*1.69</f>
        <v>0</v>
      </c>
    </row>
    <row r="143" spans="1:18" x14ac:dyDescent="0.35">
      <c r="B143" s="5">
        <f>SUM(B139:B142)</f>
        <v>204</v>
      </c>
      <c r="C143" s="5">
        <f t="shared" ref="C143:G143" si="36">SUM(C139:C142)</f>
        <v>291</v>
      </c>
      <c r="D143" s="5">
        <f t="shared" si="36"/>
        <v>288</v>
      </c>
      <c r="E143" s="5">
        <f t="shared" si="36"/>
        <v>294</v>
      </c>
      <c r="F143" s="5">
        <f t="shared" si="36"/>
        <v>0</v>
      </c>
      <c r="G143" s="5">
        <f t="shared" si="36"/>
        <v>0</v>
      </c>
      <c r="R143" s="11"/>
    </row>
    <row r="145" spans="1:18" x14ac:dyDescent="0.35">
      <c r="F145" s="3">
        <v>46244</v>
      </c>
    </row>
    <row r="146" spans="1:18" x14ac:dyDescent="0.35">
      <c r="A146" s="9"/>
      <c r="B146" t="s">
        <v>3</v>
      </c>
      <c r="C146" t="s">
        <v>4</v>
      </c>
      <c r="D146" t="s">
        <v>5</v>
      </c>
      <c r="E146" t="s">
        <v>6</v>
      </c>
      <c r="F146" t="s">
        <v>7</v>
      </c>
      <c r="G146" t="s">
        <v>8</v>
      </c>
      <c r="H146" s="1" t="s">
        <v>9</v>
      </c>
      <c r="J146" s="9"/>
      <c r="K146" t="s">
        <v>3</v>
      </c>
      <c r="L146" t="s">
        <v>4</v>
      </c>
      <c r="M146" t="s">
        <v>5</v>
      </c>
      <c r="N146" t="s">
        <v>6</v>
      </c>
      <c r="O146" t="s">
        <v>7</v>
      </c>
      <c r="P146" t="s">
        <v>8</v>
      </c>
      <c r="Q146" s="1" t="s">
        <v>9</v>
      </c>
      <c r="R146" s="1" t="s">
        <v>11</v>
      </c>
    </row>
    <row r="147" spans="1:18" x14ac:dyDescent="0.35">
      <c r="A147" s="8">
        <v>0.75</v>
      </c>
      <c r="H147" s="12">
        <f>SUM(B147:G147)</f>
        <v>0</v>
      </c>
      <c r="J147" s="8">
        <v>0.75</v>
      </c>
      <c r="K147" s="11"/>
      <c r="M147" s="11"/>
      <c r="N147" s="11"/>
      <c r="O147" s="11"/>
      <c r="P147">
        <v>21</v>
      </c>
      <c r="Q147" s="12">
        <f>SUM(K147:P147)</f>
        <v>21</v>
      </c>
      <c r="R147" s="12">
        <f>Q147*1.4</f>
        <v>29.4</v>
      </c>
    </row>
    <row r="148" spans="1:18" x14ac:dyDescent="0.35">
      <c r="A148" s="8">
        <v>0.5</v>
      </c>
      <c r="H148" s="12">
        <f t="shared" ref="H148" si="37">SUM(B148:G148)</f>
        <v>0</v>
      </c>
      <c r="J148" s="8">
        <v>0.5</v>
      </c>
      <c r="O148">
        <v>120</v>
      </c>
      <c r="Q148" s="12">
        <f>SUM(K148:P148)</f>
        <v>120</v>
      </c>
      <c r="R148" s="12">
        <f>Q148*1.4</f>
        <v>168</v>
      </c>
    </row>
    <row r="149" spans="1:18" x14ac:dyDescent="0.35">
      <c r="A149" s="9" t="s">
        <v>1</v>
      </c>
      <c r="H149" s="12">
        <f>SUM(B149:G149)</f>
        <v>0</v>
      </c>
      <c r="J149" s="9" t="s">
        <v>1</v>
      </c>
      <c r="O149">
        <v>210</v>
      </c>
      <c r="Q149" s="12">
        <f>SUM(K149:P149)</f>
        <v>210</v>
      </c>
      <c r="R149" s="12">
        <f>Q149*1.5</f>
        <v>315</v>
      </c>
    </row>
    <row r="150" spans="1:18" x14ac:dyDescent="0.35">
      <c r="A150" s="9" t="s">
        <v>2</v>
      </c>
      <c r="H150" s="12">
        <f>SUM(B150:G150)</f>
        <v>0</v>
      </c>
      <c r="J150" s="9" t="s">
        <v>2</v>
      </c>
      <c r="Q150" s="12">
        <f>SUM(K150:P150)</f>
        <v>0</v>
      </c>
      <c r="R150" s="12">
        <f>Q150*1.69</f>
        <v>0</v>
      </c>
    </row>
    <row r="151" spans="1:18" x14ac:dyDescent="0.35">
      <c r="B151" s="5">
        <f>SUM(B147:B150)</f>
        <v>0</v>
      </c>
      <c r="C151" s="5">
        <f t="shared" ref="C151:G151" si="38">SUM(C147:C150)</f>
        <v>0</v>
      </c>
      <c r="D151" s="5">
        <f t="shared" si="38"/>
        <v>0</v>
      </c>
      <c r="E151" s="5">
        <f t="shared" si="38"/>
        <v>0</v>
      </c>
      <c r="F151" s="5">
        <f t="shared" si="38"/>
        <v>0</v>
      </c>
      <c r="G151" s="5">
        <f t="shared" si="38"/>
        <v>0</v>
      </c>
      <c r="R151" s="11"/>
    </row>
    <row r="153" spans="1:18" x14ac:dyDescent="0.35">
      <c r="F153" s="3">
        <v>46251</v>
      </c>
    </row>
    <row r="154" spans="1:18" x14ac:dyDescent="0.35">
      <c r="A154" s="9"/>
      <c r="B154" t="s">
        <v>3</v>
      </c>
      <c r="C154" t="s">
        <v>4</v>
      </c>
      <c r="D154" t="s">
        <v>5</v>
      </c>
      <c r="E154" t="s">
        <v>6</v>
      </c>
      <c r="F154" t="s">
        <v>7</v>
      </c>
      <c r="G154" t="s">
        <v>8</v>
      </c>
      <c r="H154" s="1" t="s">
        <v>9</v>
      </c>
      <c r="J154" s="9"/>
      <c r="K154" t="s">
        <v>3</v>
      </c>
      <c r="L154" t="s">
        <v>4</v>
      </c>
      <c r="M154" t="s">
        <v>5</v>
      </c>
      <c r="N154" t="s">
        <v>6</v>
      </c>
      <c r="O154" t="s">
        <v>7</v>
      </c>
      <c r="P154" t="s">
        <v>8</v>
      </c>
      <c r="Q154" s="1" t="s">
        <v>9</v>
      </c>
      <c r="R154" s="1" t="s">
        <v>11</v>
      </c>
    </row>
    <row r="155" spans="1:18" x14ac:dyDescent="0.35">
      <c r="A155" s="8">
        <v>0.75</v>
      </c>
      <c r="H155" s="12">
        <f>SUM(B155:G155)</f>
        <v>0</v>
      </c>
      <c r="J155" s="8">
        <v>0.75</v>
      </c>
      <c r="K155" s="15">
        <v>21</v>
      </c>
      <c r="L155">
        <v>21</v>
      </c>
      <c r="M155" s="11"/>
      <c r="N155" s="15">
        <v>21</v>
      </c>
      <c r="O155" s="11"/>
      <c r="Q155" s="12">
        <f>SUM(K155:P155)</f>
        <v>63</v>
      </c>
      <c r="R155" s="12">
        <f>Q155*1.4</f>
        <v>88.199999999999989</v>
      </c>
    </row>
    <row r="156" spans="1:18" x14ac:dyDescent="0.35">
      <c r="A156" s="8">
        <v>0.5</v>
      </c>
      <c r="H156" s="12">
        <f t="shared" ref="H156" si="39">SUM(B156:G156)</f>
        <v>0</v>
      </c>
      <c r="J156" s="8">
        <v>0.5</v>
      </c>
      <c r="K156">
        <v>396</v>
      </c>
      <c r="L156">
        <v>150</v>
      </c>
      <c r="N156">
        <v>165</v>
      </c>
      <c r="Q156" s="12">
        <f>SUM(K156:P156)</f>
        <v>711</v>
      </c>
      <c r="R156" s="12">
        <f>Q156*1.4</f>
        <v>995.4</v>
      </c>
    </row>
    <row r="157" spans="1:18" x14ac:dyDescent="0.35">
      <c r="A157" s="9" t="s">
        <v>1</v>
      </c>
      <c r="H157" s="12">
        <f>SUM(B157:G157)</f>
        <v>0</v>
      </c>
      <c r="J157" s="9" t="s">
        <v>1</v>
      </c>
      <c r="K157">
        <v>180</v>
      </c>
      <c r="L157">
        <v>150</v>
      </c>
      <c r="N157">
        <v>165</v>
      </c>
      <c r="Q157" s="12">
        <f>SUM(K157:P157)</f>
        <v>495</v>
      </c>
      <c r="R157" s="12">
        <f>Q157*1.5</f>
        <v>742.5</v>
      </c>
    </row>
    <row r="158" spans="1:18" x14ac:dyDescent="0.35">
      <c r="A158" s="9" t="s">
        <v>2</v>
      </c>
      <c r="H158" s="12">
        <f>SUM(B158:G158)</f>
        <v>0</v>
      </c>
      <c r="J158" s="9" t="s">
        <v>2</v>
      </c>
      <c r="Q158" s="12">
        <f>SUM(K158:P158)</f>
        <v>0</v>
      </c>
      <c r="R158" s="12">
        <f>Q158*1.69</f>
        <v>0</v>
      </c>
    </row>
    <row r="159" spans="1:18" x14ac:dyDescent="0.35">
      <c r="B159" s="5">
        <f>SUM(B155:B158)</f>
        <v>0</v>
      </c>
      <c r="C159" s="5">
        <f t="shared" ref="C159:G159" si="40">SUM(C155:C158)</f>
        <v>0</v>
      </c>
      <c r="D159" s="5">
        <f t="shared" si="40"/>
        <v>0</v>
      </c>
      <c r="E159" s="5">
        <f t="shared" si="40"/>
        <v>0</v>
      </c>
      <c r="F159" s="5">
        <f t="shared" si="40"/>
        <v>0</v>
      </c>
      <c r="G159" s="5">
        <f t="shared" si="40"/>
        <v>0</v>
      </c>
      <c r="R159" s="11"/>
    </row>
    <row r="161" spans="1:18" x14ac:dyDescent="0.35">
      <c r="F161" s="3">
        <v>46258</v>
      </c>
    </row>
    <row r="162" spans="1:18" x14ac:dyDescent="0.35">
      <c r="A162" s="9"/>
      <c r="B162" t="s">
        <v>3</v>
      </c>
      <c r="C162" t="s">
        <v>4</v>
      </c>
      <c r="D162" t="s">
        <v>5</v>
      </c>
      <c r="E162" t="s">
        <v>6</v>
      </c>
      <c r="F162" t="s">
        <v>7</v>
      </c>
      <c r="G162" t="s">
        <v>8</v>
      </c>
      <c r="H162" s="1" t="s">
        <v>9</v>
      </c>
      <c r="J162" s="9"/>
      <c r="K162" t="s">
        <v>3</v>
      </c>
      <c r="L162" t="s">
        <v>4</v>
      </c>
      <c r="M162" t="s">
        <v>5</v>
      </c>
      <c r="N162" t="s">
        <v>6</v>
      </c>
      <c r="O162" t="s">
        <v>7</v>
      </c>
      <c r="P162" t="s">
        <v>8</v>
      </c>
      <c r="Q162" s="1" t="s">
        <v>9</v>
      </c>
      <c r="R162" s="1" t="s">
        <v>11</v>
      </c>
    </row>
    <row r="163" spans="1:18" x14ac:dyDescent="0.35">
      <c r="A163" s="8">
        <v>0.75</v>
      </c>
      <c r="H163" s="12">
        <f>SUM(B163:G163)</f>
        <v>0</v>
      </c>
      <c r="J163" s="8">
        <v>0.75</v>
      </c>
      <c r="K163" s="15"/>
      <c r="L163">
        <v>43.71</v>
      </c>
      <c r="M163" s="11">
        <v>42</v>
      </c>
      <c r="N163" s="11">
        <f>SUM(21,42.86)</f>
        <v>63.86</v>
      </c>
      <c r="O163" s="11">
        <v>42</v>
      </c>
      <c r="Q163" s="12">
        <f>SUM(K163:P163)</f>
        <v>191.57</v>
      </c>
      <c r="R163" s="12">
        <f>Q163*1.4</f>
        <v>268.19799999999998</v>
      </c>
    </row>
    <row r="164" spans="1:18" x14ac:dyDescent="0.35">
      <c r="A164" s="8">
        <v>0.5</v>
      </c>
      <c r="H164" s="12">
        <f t="shared" ref="H164" si="41">SUM(B164:G164)</f>
        <v>0</v>
      </c>
      <c r="J164" s="8">
        <v>0.5</v>
      </c>
      <c r="K164">
        <v>180</v>
      </c>
      <c r="L164">
        <v>200</v>
      </c>
      <c r="M164">
        <v>270</v>
      </c>
      <c r="Q164" s="12">
        <f>SUM(K164:P164)</f>
        <v>650</v>
      </c>
      <c r="R164" s="12">
        <f>Q164*1.4</f>
        <v>909.99999999999989</v>
      </c>
    </row>
    <row r="165" spans="1:18" x14ac:dyDescent="0.35">
      <c r="A165" s="9" t="s">
        <v>1</v>
      </c>
      <c r="H165" s="12">
        <f>SUM(B165:G165)</f>
        <v>0</v>
      </c>
      <c r="J165" s="9" t="s">
        <v>1</v>
      </c>
      <c r="K165">
        <v>125</v>
      </c>
      <c r="L165">
        <v>180</v>
      </c>
      <c r="M165">
        <v>288</v>
      </c>
      <c r="Q165" s="12">
        <f>SUM(K165:P165)</f>
        <v>593</v>
      </c>
      <c r="R165" s="12">
        <f>Q165*1.5</f>
        <v>889.5</v>
      </c>
    </row>
    <row r="166" spans="1:18" x14ac:dyDescent="0.35">
      <c r="A166" s="9" t="s">
        <v>2</v>
      </c>
      <c r="B166">
        <v>300</v>
      </c>
      <c r="C166">
        <v>315</v>
      </c>
      <c r="D166">
        <v>329</v>
      </c>
      <c r="E166">
        <v>220</v>
      </c>
      <c r="F166">
        <v>171</v>
      </c>
      <c r="H166" s="12">
        <f>SUM(B166:G166)</f>
        <v>1335</v>
      </c>
      <c r="J166" s="9" t="s">
        <v>2</v>
      </c>
      <c r="Q166" s="12">
        <f>SUM(K166:P166)</f>
        <v>0</v>
      </c>
      <c r="R166" s="12">
        <f>Q166*1.69</f>
        <v>0</v>
      </c>
    </row>
    <row r="167" spans="1:18" x14ac:dyDescent="0.35">
      <c r="B167" s="5">
        <f>SUM(B163:B166)</f>
        <v>300</v>
      </c>
      <c r="C167" s="5">
        <f t="shared" ref="C167:G167" si="42">SUM(C163:C166)</f>
        <v>315</v>
      </c>
      <c r="D167" s="5">
        <f t="shared" si="42"/>
        <v>329</v>
      </c>
      <c r="E167" s="5">
        <f t="shared" si="42"/>
        <v>220</v>
      </c>
      <c r="F167" s="5">
        <f t="shared" si="42"/>
        <v>171</v>
      </c>
      <c r="G167" s="5">
        <f t="shared" si="42"/>
        <v>0</v>
      </c>
      <c r="R167" s="11"/>
    </row>
    <row r="169" spans="1:18" x14ac:dyDescent="0.35">
      <c r="F169" s="3">
        <v>46265</v>
      </c>
    </row>
    <row r="170" spans="1:18" x14ac:dyDescent="0.35">
      <c r="A170" s="9"/>
      <c r="B170" t="s">
        <v>3</v>
      </c>
      <c r="C170" t="s">
        <v>4</v>
      </c>
      <c r="D170" t="s">
        <v>5</v>
      </c>
      <c r="E170" t="s">
        <v>6</v>
      </c>
      <c r="F170" t="s">
        <v>7</v>
      </c>
      <c r="G170" t="s">
        <v>8</v>
      </c>
      <c r="H170" s="1" t="s">
        <v>9</v>
      </c>
      <c r="J170" s="9"/>
      <c r="K170" t="s">
        <v>3</v>
      </c>
      <c r="L170" t="s">
        <v>4</v>
      </c>
      <c r="M170" t="s">
        <v>5</v>
      </c>
      <c r="N170" t="s">
        <v>6</v>
      </c>
      <c r="O170" t="s">
        <v>7</v>
      </c>
      <c r="P170" t="s">
        <v>8</v>
      </c>
      <c r="Q170" s="1" t="s">
        <v>9</v>
      </c>
      <c r="R170" s="1" t="s">
        <v>11</v>
      </c>
    </row>
    <row r="171" spans="1:18" x14ac:dyDescent="0.35">
      <c r="A171" s="8">
        <v>0.75</v>
      </c>
      <c r="H171" s="12">
        <f>SUM(B171:G171)</f>
        <v>0</v>
      </c>
      <c r="J171" s="8">
        <v>0.75</v>
      </c>
      <c r="K171" s="15"/>
      <c r="M171" s="11">
        <f>SUM(35.43,224)</f>
        <v>259.43</v>
      </c>
      <c r="N171" s="11">
        <v>336</v>
      </c>
      <c r="O171" s="11"/>
      <c r="Q171" s="12">
        <f>SUM(K171:P171)</f>
        <v>595.43000000000006</v>
      </c>
      <c r="R171" s="12">
        <f>Q171*1.4</f>
        <v>833.60200000000009</v>
      </c>
    </row>
    <row r="172" spans="1:18" x14ac:dyDescent="0.35">
      <c r="A172" s="8">
        <v>0.5</v>
      </c>
      <c r="H172" s="12">
        <f t="shared" ref="H172" si="43">SUM(B172:G172)</f>
        <v>0</v>
      </c>
      <c r="J172" s="8">
        <v>0.5</v>
      </c>
      <c r="O172">
        <v>336</v>
      </c>
      <c r="P172">
        <v>308</v>
      </c>
      <c r="Q172" s="12">
        <f>SUM(K172:P172)</f>
        <v>644</v>
      </c>
      <c r="R172" s="12">
        <f>Q172*1.4</f>
        <v>901.59999999999991</v>
      </c>
    </row>
    <row r="173" spans="1:18" x14ac:dyDescent="0.35">
      <c r="A173" s="9" t="s">
        <v>1</v>
      </c>
      <c r="H173" s="12">
        <f>SUM(B173:G173)</f>
        <v>0</v>
      </c>
      <c r="J173" s="9" t="s">
        <v>1</v>
      </c>
      <c r="Q173" s="12">
        <f>SUM(K173:P173)</f>
        <v>0</v>
      </c>
      <c r="R173" s="12">
        <f>Q173*1.5</f>
        <v>0</v>
      </c>
    </row>
    <row r="174" spans="1:18" x14ac:dyDescent="0.35">
      <c r="A174" s="9" t="s">
        <v>2</v>
      </c>
      <c r="D174">
        <v>270</v>
      </c>
      <c r="E174">
        <v>294</v>
      </c>
      <c r="F174">
        <v>252</v>
      </c>
      <c r="G174">
        <v>249</v>
      </c>
      <c r="H174" s="12">
        <f>SUM(B174:G174)</f>
        <v>1065</v>
      </c>
      <c r="J174" s="9" t="s">
        <v>2</v>
      </c>
      <c r="L174" t="s">
        <v>10</v>
      </c>
      <c r="Q174" s="12">
        <f>SUM(K174:P174)</f>
        <v>0</v>
      </c>
      <c r="R174" s="12">
        <f>Q174*1.69</f>
        <v>0</v>
      </c>
    </row>
    <row r="175" spans="1:18" x14ac:dyDescent="0.35">
      <c r="B175" s="5">
        <f>SUM(B171:B174)</f>
        <v>0</v>
      </c>
      <c r="C175" s="5">
        <f t="shared" ref="C175:G175" si="44">SUM(C171:C174)</f>
        <v>0</v>
      </c>
      <c r="D175" s="5">
        <f t="shared" si="44"/>
        <v>270</v>
      </c>
      <c r="E175" s="5">
        <f t="shared" si="44"/>
        <v>294</v>
      </c>
      <c r="F175" s="5">
        <f t="shared" si="44"/>
        <v>252</v>
      </c>
      <c r="G175" s="5">
        <f t="shared" si="44"/>
        <v>249</v>
      </c>
      <c r="R175" s="11"/>
    </row>
    <row r="177" spans="1:18" x14ac:dyDescent="0.35">
      <c r="F177" s="3">
        <v>46272</v>
      </c>
    </row>
    <row r="178" spans="1:18" x14ac:dyDescent="0.35">
      <c r="A178" s="9"/>
      <c r="B178" t="s">
        <v>3</v>
      </c>
      <c r="C178" t="s">
        <v>4</v>
      </c>
      <c r="D178" t="s">
        <v>5</v>
      </c>
      <c r="E178" t="s">
        <v>6</v>
      </c>
      <c r="F178" t="s">
        <v>7</v>
      </c>
      <c r="G178" t="s">
        <v>8</v>
      </c>
      <c r="H178" s="1" t="s">
        <v>9</v>
      </c>
      <c r="J178" s="9"/>
      <c r="K178" t="s">
        <v>3</v>
      </c>
      <c r="L178" t="s">
        <v>4</v>
      </c>
      <c r="M178" t="s">
        <v>5</v>
      </c>
      <c r="N178" t="s">
        <v>6</v>
      </c>
      <c r="O178" t="s">
        <v>7</v>
      </c>
      <c r="P178" t="s">
        <v>8</v>
      </c>
      <c r="Q178" s="1" t="s">
        <v>9</v>
      </c>
      <c r="R178" s="1" t="s">
        <v>11</v>
      </c>
    </row>
    <row r="179" spans="1:18" x14ac:dyDescent="0.35">
      <c r="A179" s="8">
        <v>0.75</v>
      </c>
      <c r="H179" s="12">
        <f>SUM(B179:G179)</f>
        <v>0</v>
      </c>
      <c r="J179" s="8">
        <v>0.75</v>
      </c>
      <c r="K179" s="15"/>
      <c r="M179" s="11"/>
      <c r="N179" s="11"/>
      <c r="O179" s="11">
        <f>237.58/1.4</f>
        <v>169.70000000000002</v>
      </c>
      <c r="P179">
        <f>SUM(64.28,419.68/1.4)</f>
        <v>364.05142857142857</v>
      </c>
      <c r="Q179" s="12">
        <f>SUM(K179:P179)</f>
        <v>533.75142857142862</v>
      </c>
      <c r="R179" s="12">
        <f>Q179*1.4</f>
        <v>747.25200000000007</v>
      </c>
    </row>
    <row r="180" spans="1:18" x14ac:dyDescent="0.35">
      <c r="A180" s="8">
        <v>0.5</v>
      </c>
      <c r="H180" s="12">
        <f t="shared" ref="H180" si="45">SUM(B180:G180)</f>
        <v>0</v>
      </c>
      <c r="J180" s="8">
        <v>0.5</v>
      </c>
      <c r="O180" s="11">
        <f>40.48/1.4</f>
        <v>28.914285714285715</v>
      </c>
      <c r="Q180" s="12">
        <f>SUM(K180:P180)</f>
        <v>28.914285714285715</v>
      </c>
      <c r="R180" s="12">
        <f>Q180*1.4</f>
        <v>40.479999999999997</v>
      </c>
    </row>
    <row r="181" spans="1:18" x14ac:dyDescent="0.35">
      <c r="A181" s="9" t="s">
        <v>1</v>
      </c>
      <c r="H181" s="12">
        <f>SUM(B181:G181)</f>
        <v>0</v>
      </c>
      <c r="J181" s="9" t="s">
        <v>1</v>
      </c>
      <c r="Q181" s="12">
        <f>SUM(K181:P181)</f>
        <v>0</v>
      </c>
      <c r="R181" s="12">
        <f>Q181*1.5</f>
        <v>0</v>
      </c>
    </row>
    <row r="182" spans="1:18" x14ac:dyDescent="0.35">
      <c r="A182" s="9" t="s">
        <v>2</v>
      </c>
      <c r="B182">
        <v>300</v>
      </c>
      <c r="C182">
        <v>303</v>
      </c>
      <c r="D182">
        <v>210</v>
      </c>
      <c r="F182">
        <v>315</v>
      </c>
      <c r="G182">
        <v>300</v>
      </c>
      <c r="H182" s="12">
        <f>SUM(B182:G182)</f>
        <v>1428</v>
      </c>
      <c r="J182" s="9" t="s">
        <v>2</v>
      </c>
      <c r="Q182" s="12">
        <f>SUM(K182:P182)</f>
        <v>0</v>
      </c>
      <c r="R182" s="12">
        <f>Q182*1.69</f>
        <v>0</v>
      </c>
    </row>
    <row r="183" spans="1:18" x14ac:dyDescent="0.35">
      <c r="B183" s="5">
        <f>SUM(B179:B182)</f>
        <v>300</v>
      </c>
      <c r="C183" s="5">
        <f t="shared" ref="C183:G183" si="46">SUM(C179:C182)</f>
        <v>303</v>
      </c>
      <c r="D183" s="5">
        <f t="shared" si="46"/>
        <v>210</v>
      </c>
      <c r="E183" s="5">
        <f t="shared" si="46"/>
        <v>0</v>
      </c>
      <c r="F183" s="5">
        <f t="shared" si="46"/>
        <v>315</v>
      </c>
      <c r="G183" s="5">
        <f t="shared" si="46"/>
        <v>300</v>
      </c>
      <c r="R183" s="11"/>
    </row>
    <row r="185" spans="1:18" x14ac:dyDescent="0.35">
      <c r="F185" s="3">
        <v>46279</v>
      </c>
    </row>
    <row r="186" spans="1:18" x14ac:dyDescent="0.35">
      <c r="A186" s="9"/>
      <c r="B186" t="s">
        <v>3</v>
      </c>
      <c r="C186" t="s">
        <v>4</v>
      </c>
      <c r="D186" t="s">
        <v>5</v>
      </c>
      <c r="E186" t="s">
        <v>6</v>
      </c>
      <c r="F186" t="s">
        <v>7</v>
      </c>
      <c r="G186" t="s">
        <v>8</v>
      </c>
      <c r="H186" s="1" t="s">
        <v>9</v>
      </c>
      <c r="J186" s="9"/>
      <c r="K186" t="s">
        <v>3</v>
      </c>
      <c r="L186" t="s">
        <v>4</v>
      </c>
      <c r="M186" t="s">
        <v>5</v>
      </c>
      <c r="N186" t="s">
        <v>6</v>
      </c>
      <c r="O186" t="s">
        <v>7</v>
      </c>
      <c r="P186" t="s">
        <v>8</v>
      </c>
      <c r="Q186" s="1" t="s">
        <v>9</v>
      </c>
      <c r="R186" s="1" t="s">
        <v>11</v>
      </c>
    </row>
    <row r="187" spans="1:18" x14ac:dyDescent="0.35">
      <c r="A187" s="8">
        <v>0.75</v>
      </c>
      <c r="H187" s="12">
        <f>SUM(B187:G187)</f>
        <v>0</v>
      </c>
      <c r="J187" s="8">
        <v>0.75</v>
      </c>
      <c r="K187" s="15">
        <v>129.04</v>
      </c>
      <c r="M187" s="11"/>
      <c r="O187" s="11"/>
      <c r="P187">
        <v>61.43</v>
      </c>
      <c r="Q187" s="12">
        <f>SUM(K187:P187)</f>
        <v>190.47</v>
      </c>
      <c r="R187" s="12">
        <f>Q187*1.4</f>
        <v>266.65799999999996</v>
      </c>
    </row>
    <row r="188" spans="1:18" x14ac:dyDescent="0.35">
      <c r="A188" s="8">
        <v>0.5</v>
      </c>
      <c r="H188" s="12">
        <f t="shared" ref="H188" si="47">SUM(B188:G188)</f>
        <v>0</v>
      </c>
      <c r="J188" s="8">
        <v>0.5</v>
      </c>
      <c r="N188" s="11">
        <f>88/1.4</f>
        <v>62.857142857142861</v>
      </c>
      <c r="O188" s="11">
        <v>143.6</v>
      </c>
      <c r="Q188" s="12">
        <f>SUM(K188:P188)</f>
        <v>206.45714285714286</v>
      </c>
      <c r="R188" s="12">
        <f>Q188*1.4</f>
        <v>289.03999999999996</v>
      </c>
    </row>
    <row r="189" spans="1:18" x14ac:dyDescent="0.35">
      <c r="A189" s="9" t="s">
        <v>1</v>
      </c>
      <c r="H189" s="12">
        <f>SUM(B189:G189)</f>
        <v>0</v>
      </c>
      <c r="J189" s="9" t="s">
        <v>1</v>
      </c>
      <c r="O189">
        <v>173.87</v>
      </c>
      <c r="Q189" s="12">
        <f>SUM(K189:P189)</f>
        <v>173.87</v>
      </c>
      <c r="R189" s="12">
        <f>Q189*1.5</f>
        <v>260.80500000000001</v>
      </c>
    </row>
    <row r="190" spans="1:18" x14ac:dyDescent="0.35">
      <c r="A190" s="9" t="s">
        <v>2</v>
      </c>
      <c r="B190">
        <v>310</v>
      </c>
      <c r="C190">
        <v>276</v>
      </c>
      <c r="D190">
        <v>300</v>
      </c>
      <c r="E190">
        <v>290</v>
      </c>
      <c r="G190">
        <v>300</v>
      </c>
      <c r="H190" s="12">
        <f>SUM(B190:G190)</f>
        <v>1476</v>
      </c>
      <c r="J190" s="9" t="s">
        <v>2</v>
      </c>
      <c r="Q190" s="12">
        <f>SUM(K190:P190)</f>
        <v>0</v>
      </c>
      <c r="R190" s="12">
        <f>Q190*1.69</f>
        <v>0</v>
      </c>
    </row>
    <row r="191" spans="1:18" x14ac:dyDescent="0.35">
      <c r="B191" s="5">
        <f>SUM(B187:B190)</f>
        <v>310</v>
      </c>
      <c r="C191" s="5">
        <f t="shared" ref="C191:G191" si="48">SUM(C187:C190)</f>
        <v>276</v>
      </c>
      <c r="D191" s="5">
        <f t="shared" si="48"/>
        <v>300</v>
      </c>
      <c r="E191" s="5">
        <f t="shared" si="48"/>
        <v>290</v>
      </c>
      <c r="F191" s="5">
        <f t="shared" si="48"/>
        <v>0</v>
      </c>
      <c r="G191" s="5">
        <f t="shared" si="48"/>
        <v>300</v>
      </c>
      <c r="R191" s="11"/>
    </row>
    <row r="193" spans="1:18" x14ac:dyDescent="0.35">
      <c r="F193" s="3">
        <v>46286</v>
      </c>
    </row>
    <row r="194" spans="1:18" x14ac:dyDescent="0.35">
      <c r="A194" s="9"/>
      <c r="B194" t="s">
        <v>3</v>
      </c>
      <c r="C194" t="s">
        <v>4</v>
      </c>
      <c r="D194" t="s">
        <v>5</v>
      </c>
      <c r="E194" t="s">
        <v>6</v>
      </c>
      <c r="F194" t="s">
        <v>7</v>
      </c>
      <c r="G194" t="s">
        <v>8</v>
      </c>
      <c r="H194" s="1" t="s">
        <v>9</v>
      </c>
      <c r="J194" s="9"/>
      <c r="K194" t="s">
        <v>3</v>
      </c>
      <c r="L194" t="s">
        <v>4</v>
      </c>
      <c r="M194" t="s">
        <v>5</v>
      </c>
      <c r="N194" t="s">
        <v>6</v>
      </c>
      <c r="O194" t="s">
        <v>7</v>
      </c>
      <c r="P194" t="s">
        <v>8</v>
      </c>
      <c r="Q194" s="1" t="s">
        <v>9</v>
      </c>
      <c r="R194" s="1" t="s">
        <v>11</v>
      </c>
    </row>
    <row r="195" spans="1:18" x14ac:dyDescent="0.35">
      <c r="A195" s="8">
        <v>0.75</v>
      </c>
      <c r="H195" s="12">
        <f>SUM(B195:G195)</f>
        <v>0</v>
      </c>
      <c r="J195" s="8">
        <v>0.75</v>
      </c>
      <c r="K195" s="15"/>
      <c r="L195" s="11">
        <f>86/1.4</f>
        <v>61.428571428571431</v>
      </c>
      <c r="M195" s="11"/>
      <c r="O195" s="11"/>
      <c r="Q195" s="12">
        <f>SUM(K195:P195)</f>
        <v>61.428571428571431</v>
      </c>
      <c r="R195" s="12">
        <f>Q195*1.4</f>
        <v>86</v>
      </c>
    </row>
    <row r="196" spans="1:18" x14ac:dyDescent="0.35">
      <c r="A196" s="8">
        <v>0.5</v>
      </c>
      <c r="H196" s="12">
        <f t="shared" ref="H196" si="49">SUM(B196:G196)</f>
        <v>0</v>
      </c>
      <c r="J196" s="8">
        <v>0.5</v>
      </c>
      <c r="N196" s="11"/>
      <c r="O196" s="11"/>
      <c r="Q196" s="12">
        <f>SUM(K196:P196)</f>
        <v>0</v>
      </c>
      <c r="R196" s="12">
        <f>Q196*1.4</f>
        <v>0</v>
      </c>
    </row>
    <row r="197" spans="1:18" x14ac:dyDescent="0.35">
      <c r="A197" s="9" t="s">
        <v>1</v>
      </c>
      <c r="H197" s="12">
        <f>SUM(B197:G197)</f>
        <v>0</v>
      </c>
      <c r="J197" s="9" t="s">
        <v>1</v>
      </c>
      <c r="Q197" s="12">
        <f>SUM(K197:P197)</f>
        <v>0</v>
      </c>
      <c r="R197" s="12">
        <f>Q197*1.5</f>
        <v>0</v>
      </c>
    </row>
    <row r="198" spans="1:18" x14ac:dyDescent="0.35">
      <c r="A198" s="9" t="s">
        <v>2</v>
      </c>
      <c r="B198">
        <v>315</v>
      </c>
      <c r="C198">
        <v>324</v>
      </c>
      <c r="D198">
        <v>270</v>
      </c>
      <c r="H198" s="12">
        <f>SUM(B198:G198)</f>
        <v>909</v>
      </c>
      <c r="J198" s="9" t="s">
        <v>2</v>
      </c>
      <c r="Q198" s="12">
        <f>SUM(K198:P198)</f>
        <v>0</v>
      </c>
      <c r="R198" s="12">
        <f>Q198*1.69</f>
        <v>0</v>
      </c>
    </row>
    <row r="199" spans="1:18" x14ac:dyDescent="0.35">
      <c r="B199" s="5">
        <f>SUM(B195:B198)</f>
        <v>315</v>
      </c>
      <c r="C199" s="5">
        <f t="shared" ref="C199:G199" si="50">SUM(C195:C198)</f>
        <v>324</v>
      </c>
      <c r="D199" s="5">
        <f t="shared" si="50"/>
        <v>270</v>
      </c>
      <c r="E199" s="5">
        <f t="shared" si="50"/>
        <v>0</v>
      </c>
      <c r="F199" s="5">
        <f t="shared" si="50"/>
        <v>0</v>
      </c>
      <c r="G199" s="5">
        <f t="shared" si="50"/>
        <v>0</v>
      </c>
      <c r="R199" s="11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0E0E-08AA-4F46-A194-6A021FBBC16D}">
  <sheetPr>
    <tabColor theme="4" tint="-0.249977111117893"/>
  </sheetPr>
  <dimension ref="A1:ER8"/>
  <sheetViews>
    <sheetView topLeftCell="EB1" workbookViewId="0">
      <selection activeCell="ES17" sqref="ES17"/>
    </sheetView>
  </sheetViews>
  <sheetFormatPr defaultRowHeight="14.5" x14ac:dyDescent="0.35"/>
  <sheetData>
    <row r="1" spans="1:148" x14ac:dyDescent="0.35">
      <c r="A1" s="7"/>
      <c r="B1" s="8">
        <v>0.75</v>
      </c>
      <c r="C1" s="8">
        <v>0.5</v>
      </c>
      <c r="D1" s="9" t="s">
        <v>1</v>
      </c>
      <c r="E1" s="9" t="s">
        <v>2</v>
      </c>
      <c r="F1" s="10"/>
      <c r="G1" s="9"/>
      <c r="H1" s="8">
        <v>0.75</v>
      </c>
      <c r="I1" s="8">
        <v>0.5</v>
      </c>
      <c r="J1" s="9" t="s">
        <v>1</v>
      </c>
      <c r="K1" s="9" t="s">
        <v>2</v>
      </c>
      <c r="L1" s="10"/>
      <c r="M1" s="9"/>
      <c r="N1" s="8">
        <v>0.75</v>
      </c>
      <c r="O1" s="8">
        <v>0.5</v>
      </c>
      <c r="P1" s="9" t="s">
        <v>1</v>
      </c>
      <c r="Q1" s="9" t="s">
        <v>2</v>
      </c>
      <c r="R1" s="10"/>
      <c r="S1" s="9"/>
      <c r="T1" s="8">
        <v>0.75</v>
      </c>
      <c r="U1" s="8">
        <v>0.5</v>
      </c>
      <c r="V1" s="9" t="s">
        <v>1</v>
      </c>
      <c r="W1" s="9" t="s">
        <v>2</v>
      </c>
      <c r="X1" s="10"/>
      <c r="Y1" s="9"/>
      <c r="Z1" s="8">
        <v>0.75</v>
      </c>
      <c r="AA1" s="8">
        <v>0.5</v>
      </c>
      <c r="AB1" s="9" t="s">
        <v>1</v>
      </c>
      <c r="AC1" s="9" t="s">
        <v>2</v>
      </c>
      <c r="AD1" s="10"/>
      <c r="AE1" s="9"/>
      <c r="AF1" s="8">
        <v>0.75</v>
      </c>
      <c r="AG1" s="8">
        <v>0.5</v>
      </c>
      <c r="AH1" s="9" t="s">
        <v>1</v>
      </c>
      <c r="AI1" s="9" t="s">
        <v>2</v>
      </c>
      <c r="AJ1" s="10"/>
      <c r="AK1" s="9"/>
      <c r="AL1" s="8">
        <v>0.75</v>
      </c>
      <c r="AM1" s="8">
        <v>0.5</v>
      </c>
      <c r="AN1" s="9" t="s">
        <v>1</v>
      </c>
      <c r="AO1" s="9" t="s">
        <v>2</v>
      </c>
      <c r="AP1" s="10"/>
      <c r="AQ1" s="9"/>
      <c r="AR1" s="8">
        <v>0.75</v>
      </c>
      <c r="AS1" s="8">
        <v>0.5</v>
      </c>
      <c r="AT1" s="9" t="s">
        <v>1</v>
      </c>
      <c r="AU1" s="9" t="s">
        <v>2</v>
      </c>
      <c r="AV1" s="10"/>
      <c r="AW1" s="9"/>
      <c r="AX1" s="8">
        <v>0.75</v>
      </c>
      <c r="AY1" s="8">
        <v>0.5</v>
      </c>
      <c r="AZ1" s="9" t="s">
        <v>1</v>
      </c>
      <c r="BA1" s="9" t="s">
        <v>2</v>
      </c>
      <c r="BB1" s="10"/>
      <c r="BC1" s="9"/>
      <c r="BD1" s="8">
        <v>0.75</v>
      </c>
      <c r="BE1" s="8">
        <v>0.5</v>
      </c>
      <c r="BF1" s="9" t="s">
        <v>1</v>
      </c>
      <c r="BG1" s="9" t="s">
        <v>2</v>
      </c>
      <c r="BH1" s="10"/>
      <c r="BI1" s="9"/>
      <c r="BJ1" s="8">
        <v>0.75</v>
      </c>
      <c r="BK1" s="8">
        <v>0.5</v>
      </c>
      <c r="BL1" s="9" t="s">
        <v>1</v>
      </c>
      <c r="BM1" s="9" t="s">
        <v>2</v>
      </c>
      <c r="BN1" s="10"/>
      <c r="BO1" s="9"/>
      <c r="BP1" s="8">
        <v>0.75</v>
      </c>
      <c r="BQ1" s="8">
        <v>0.5</v>
      </c>
      <c r="BR1" s="9" t="s">
        <v>1</v>
      </c>
      <c r="BS1" s="9" t="s">
        <v>2</v>
      </c>
      <c r="BT1" s="10"/>
      <c r="BU1" s="9"/>
      <c r="BV1" s="8">
        <v>0.75</v>
      </c>
      <c r="BW1" s="8">
        <v>0.5</v>
      </c>
      <c r="BX1" s="9" t="s">
        <v>1</v>
      </c>
      <c r="BY1" s="9" t="s">
        <v>2</v>
      </c>
      <c r="BZ1" s="10"/>
      <c r="CA1" s="9"/>
      <c r="CB1" s="8">
        <v>0.75</v>
      </c>
      <c r="CC1" s="8">
        <v>0.5</v>
      </c>
      <c r="CD1" s="9" t="s">
        <v>1</v>
      </c>
      <c r="CE1" s="9" t="s">
        <v>2</v>
      </c>
      <c r="CF1" s="10"/>
      <c r="CG1" s="9"/>
      <c r="CH1" s="8">
        <v>0.75</v>
      </c>
      <c r="CI1" s="8">
        <v>0.5</v>
      </c>
      <c r="CJ1" s="9" t="s">
        <v>1</v>
      </c>
      <c r="CK1" s="9" t="s">
        <v>2</v>
      </c>
      <c r="CL1" s="10"/>
      <c r="CM1" s="9"/>
      <c r="CN1" s="8">
        <v>0.75</v>
      </c>
      <c r="CO1" s="8">
        <v>0.5</v>
      </c>
      <c r="CP1" s="9" t="s">
        <v>1</v>
      </c>
      <c r="CQ1" s="9" t="s">
        <v>2</v>
      </c>
      <c r="CR1" s="10"/>
      <c r="CS1" s="9"/>
      <c r="CT1" s="8">
        <v>0.75</v>
      </c>
      <c r="CU1" s="8">
        <v>0.5</v>
      </c>
      <c r="CV1" s="9" t="s">
        <v>1</v>
      </c>
      <c r="CW1" s="9" t="s">
        <v>2</v>
      </c>
      <c r="CX1" s="10"/>
      <c r="CY1" s="9"/>
      <c r="CZ1" s="8">
        <v>0.75</v>
      </c>
      <c r="DA1" s="8">
        <v>0.5</v>
      </c>
      <c r="DB1" s="9" t="s">
        <v>1</v>
      </c>
      <c r="DC1" s="9" t="s">
        <v>2</v>
      </c>
      <c r="DD1" s="10"/>
      <c r="DE1" s="9"/>
      <c r="DF1" s="8">
        <v>0.75</v>
      </c>
      <c r="DG1" s="8">
        <v>0.5</v>
      </c>
      <c r="DH1" s="9" t="s">
        <v>1</v>
      </c>
      <c r="DI1" s="9" t="s">
        <v>2</v>
      </c>
      <c r="DJ1" s="10"/>
      <c r="DK1" s="9"/>
      <c r="DL1" s="8">
        <v>0.75</v>
      </c>
      <c r="DM1" s="8">
        <v>0.5</v>
      </c>
      <c r="DN1" s="9" t="s">
        <v>1</v>
      </c>
      <c r="DO1" s="9" t="s">
        <v>2</v>
      </c>
      <c r="DP1" s="10"/>
      <c r="DQ1" s="9"/>
      <c r="DR1" s="8">
        <v>0.75</v>
      </c>
      <c r="DS1" s="8">
        <v>0.5</v>
      </c>
      <c r="DT1" s="9" t="s">
        <v>1</v>
      </c>
      <c r="DU1" s="9" t="s">
        <v>2</v>
      </c>
      <c r="DV1" s="10"/>
      <c r="DW1" s="9"/>
      <c r="DX1" s="8">
        <v>0.75</v>
      </c>
      <c r="DY1" s="8">
        <v>0.5</v>
      </c>
      <c r="DZ1" s="9" t="s">
        <v>1</v>
      </c>
      <c r="EA1" s="9" t="s">
        <v>2</v>
      </c>
      <c r="EB1" s="10"/>
      <c r="EC1" s="9"/>
      <c r="ED1" s="8">
        <v>0.75</v>
      </c>
      <c r="EE1" s="8">
        <v>0.5</v>
      </c>
      <c r="EF1" s="9" t="s">
        <v>1</v>
      </c>
      <c r="EG1" s="9" t="s">
        <v>2</v>
      </c>
      <c r="EH1" s="10"/>
      <c r="EI1" s="9"/>
      <c r="EJ1" s="8">
        <v>0.75</v>
      </c>
      <c r="EK1" s="8">
        <v>0.5</v>
      </c>
      <c r="EL1" s="9" t="s">
        <v>1</v>
      </c>
      <c r="EM1" s="9" t="s">
        <v>2</v>
      </c>
      <c r="EN1" s="10"/>
      <c r="EO1" s="17" t="s">
        <v>13</v>
      </c>
      <c r="EP1" s="16" t="s">
        <v>14</v>
      </c>
      <c r="EQ1" s="16" t="s">
        <v>15</v>
      </c>
      <c r="ER1" s="16" t="s">
        <v>16</v>
      </c>
    </row>
    <row r="2" spans="1:148" x14ac:dyDescent="0.35">
      <c r="A2" t="s">
        <v>3</v>
      </c>
      <c r="B2">
        <v>0</v>
      </c>
      <c r="C2">
        <v>0</v>
      </c>
      <c r="D2">
        <v>0</v>
      </c>
      <c r="E2">
        <v>288</v>
      </c>
      <c r="F2" s="5">
        <f>SUM(B2:E2)</f>
        <v>288</v>
      </c>
      <c r="G2" t="s">
        <v>3</v>
      </c>
      <c r="H2">
        <v>0</v>
      </c>
      <c r="I2">
        <v>0</v>
      </c>
      <c r="J2">
        <v>0</v>
      </c>
      <c r="K2">
        <v>0</v>
      </c>
      <c r="L2" s="5">
        <f>SUM(H2:K2)</f>
        <v>0</v>
      </c>
      <c r="M2" t="s">
        <v>3</v>
      </c>
      <c r="N2">
        <v>84</v>
      </c>
      <c r="O2">
        <v>69</v>
      </c>
      <c r="P2">
        <v>78</v>
      </c>
      <c r="Q2">
        <v>0</v>
      </c>
      <c r="R2" s="5">
        <f>SUM(N2:Q2)</f>
        <v>231</v>
      </c>
      <c r="S2" t="s">
        <v>3</v>
      </c>
      <c r="T2">
        <v>99</v>
      </c>
      <c r="U2">
        <v>81</v>
      </c>
      <c r="V2">
        <v>93</v>
      </c>
      <c r="W2">
        <v>0</v>
      </c>
      <c r="X2" s="5">
        <f>SUM(T2:W2)</f>
        <v>273</v>
      </c>
      <c r="Y2" t="s">
        <v>3</v>
      </c>
      <c r="Z2">
        <v>102</v>
      </c>
      <c r="AA2">
        <v>84</v>
      </c>
      <c r="AB2">
        <v>96</v>
      </c>
      <c r="AC2">
        <v>0</v>
      </c>
      <c r="AD2" s="5">
        <f>SUM(Z2:AC2)</f>
        <v>282</v>
      </c>
      <c r="AE2" t="s">
        <v>3</v>
      </c>
      <c r="AF2">
        <v>99</v>
      </c>
      <c r="AG2">
        <v>81</v>
      </c>
      <c r="AH2">
        <v>93</v>
      </c>
      <c r="AI2">
        <v>0</v>
      </c>
      <c r="AJ2" s="5">
        <f>SUM(AF2:AI2)</f>
        <v>273</v>
      </c>
      <c r="AK2" t="s">
        <v>3</v>
      </c>
      <c r="AL2">
        <v>93</v>
      </c>
      <c r="AM2">
        <v>75</v>
      </c>
      <c r="AN2">
        <v>87</v>
      </c>
      <c r="AO2">
        <v>0</v>
      </c>
      <c r="AP2" s="5">
        <f>SUM(AL2:AO2)</f>
        <v>255</v>
      </c>
      <c r="AQ2" t="s">
        <v>3</v>
      </c>
      <c r="AR2">
        <v>66</v>
      </c>
      <c r="AS2">
        <v>51</v>
      </c>
      <c r="AT2">
        <v>60</v>
      </c>
      <c r="AU2">
        <v>0</v>
      </c>
      <c r="AV2" s="5">
        <f>SUM(AR2:AU2)</f>
        <v>177</v>
      </c>
      <c r="AW2" t="s">
        <v>3</v>
      </c>
      <c r="AX2">
        <v>90</v>
      </c>
      <c r="AY2">
        <v>72</v>
      </c>
      <c r="AZ2">
        <v>84</v>
      </c>
      <c r="BB2" s="5">
        <f>SUM(AX2:BA2)</f>
        <v>246</v>
      </c>
      <c r="BC2" t="s">
        <v>3</v>
      </c>
      <c r="BH2" s="5">
        <f>SUM(BD2:BG2)</f>
        <v>0</v>
      </c>
      <c r="BI2" t="s">
        <v>3</v>
      </c>
      <c r="BM2">
        <v>270</v>
      </c>
      <c r="BN2" s="5">
        <f>SUM(BJ2:BM2)</f>
        <v>270</v>
      </c>
      <c r="BO2" t="s">
        <v>3</v>
      </c>
      <c r="BS2">
        <v>240</v>
      </c>
      <c r="BT2" s="5">
        <f>SUM(BP2:BS2)</f>
        <v>240</v>
      </c>
      <c r="BU2" t="s">
        <v>3</v>
      </c>
      <c r="BY2">
        <v>270</v>
      </c>
      <c r="BZ2" s="5">
        <f>SUM(BV2:BY2)</f>
        <v>270</v>
      </c>
      <c r="CA2" t="s">
        <v>3</v>
      </c>
      <c r="CF2" s="5">
        <f>SUM(CB2:CE2)</f>
        <v>0</v>
      </c>
      <c r="CG2" t="s">
        <v>3</v>
      </c>
      <c r="CK2">
        <v>96</v>
      </c>
      <c r="CL2" s="5">
        <f>SUM(CH2:CK2)</f>
        <v>96</v>
      </c>
      <c r="CM2" t="s">
        <v>3</v>
      </c>
      <c r="CQ2">
        <v>294</v>
      </c>
      <c r="CR2" s="5">
        <f>SUM(CN2:CQ2)</f>
        <v>294</v>
      </c>
      <c r="CS2" t="s">
        <v>3</v>
      </c>
      <c r="CW2">
        <v>204</v>
      </c>
      <c r="CX2" s="5">
        <f>SUM(CT2:CW2)</f>
        <v>204</v>
      </c>
      <c r="CY2" t="s">
        <v>3</v>
      </c>
      <c r="DD2" s="5">
        <f>SUM(CZ2:DC2)</f>
        <v>0</v>
      </c>
      <c r="DE2" t="s">
        <v>3</v>
      </c>
      <c r="DJ2" s="5">
        <f>SUM(DF2:DI2)</f>
        <v>0</v>
      </c>
      <c r="DK2" t="s">
        <v>3</v>
      </c>
      <c r="DO2">
        <v>300</v>
      </c>
      <c r="DP2" s="5">
        <f>SUM(DL2:DO2)</f>
        <v>300</v>
      </c>
      <c r="DQ2" t="s">
        <v>3</v>
      </c>
      <c r="DV2" s="5">
        <f>SUM(DR2:DU2)</f>
        <v>0</v>
      </c>
      <c r="DW2" t="s">
        <v>3</v>
      </c>
      <c r="EA2">
        <v>300</v>
      </c>
      <c r="EB2" s="5">
        <f>SUM(DX2:EA2)</f>
        <v>300</v>
      </c>
      <c r="EC2" t="s">
        <v>3</v>
      </c>
      <c r="EG2">
        <v>310</v>
      </c>
      <c r="EH2" s="5">
        <f>SUM(ED2:EG2)</f>
        <v>310</v>
      </c>
      <c r="EI2" t="s">
        <v>3</v>
      </c>
      <c r="EM2">
        <v>315</v>
      </c>
      <c r="EN2" s="5">
        <f>SUM(EJ2:EM2)</f>
        <v>315</v>
      </c>
      <c r="EO2" s="5">
        <f>SUM(E2,K2,Q2,W2,AC2,AI2,AO2,AU2,BA2,BG2,BM2,BS2,BY2,CE2,CK2,CQ2,CW2,DC2,DI2,DO2,DU2,EA2,EG2,EM2,)</f>
        <v>2887</v>
      </c>
      <c r="EP2" s="5">
        <f>SUM(B2,H2,N2,T2,Z2,AF2,AL2,AR2,AX2,BD2,BJ2,BP2,BV2,CB2,CH2,CN2,CT2,CZ2,DF2,DL2,DR2,DX2,ED2,EJ2,)</f>
        <v>633</v>
      </c>
      <c r="EQ2" s="5">
        <f>SUM(C2,I2,O2,U2,AA2,AG2,AM2,AS2,AY2,BE2,BK2,BQ2,BW2,CC2,CI2,CO2,CU2,DA2,DG2,DM2,DS2,DY2,EE2,EK2,)</f>
        <v>513</v>
      </c>
      <c r="ER2" s="5">
        <f>SUM(D2,J2,P2,V2,AB2,AH2,AN2,AT2,AZ2,BF2,BL2,BR2,BX2,CD2,CJ2,CP2,CV2,DB2,DH2,DN2,DT2,DZ2,EF2,EL2,)</f>
        <v>591</v>
      </c>
    </row>
    <row r="3" spans="1:148" x14ac:dyDescent="0.35">
      <c r="A3" t="s">
        <v>4</v>
      </c>
      <c r="B3">
        <v>0</v>
      </c>
      <c r="C3">
        <v>0</v>
      </c>
      <c r="D3">
        <v>0</v>
      </c>
      <c r="E3">
        <v>291</v>
      </c>
      <c r="F3" s="5">
        <f>SUM(B3:E3)</f>
        <v>291</v>
      </c>
      <c r="G3" t="s">
        <v>4</v>
      </c>
      <c r="H3">
        <v>0</v>
      </c>
      <c r="I3">
        <v>0</v>
      </c>
      <c r="J3">
        <v>0</v>
      </c>
      <c r="K3">
        <v>276</v>
      </c>
      <c r="L3" s="5">
        <f>SUM(H3:K3)</f>
        <v>276</v>
      </c>
      <c r="M3" t="s">
        <v>4</v>
      </c>
      <c r="N3">
        <v>96</v>
      </c>
      <c r="O3">
        <v>78</v>
      </c>
      <c r="P3">
        <v>90</v>
      </c>
      <c r="Q3">
        <v>0</v>
      </c>
      <c r="R3" s="5">
        <f>SUM(N3:Q3)</f>
        <v>264</v>
      </c>
      <c r="S3" t="s">
        <v>4</v>
      </c>
      <c r="T3">
        <v>93</v>
      </c>
      <c r="U3">
        <v>75</v>
      </c>
      <c r="V3">
        <v>87</v>
      </c>
      <c r="W3">
        <v>0</v>
      </c>
      <c r="X3" s="5">
        <f>SUM(T3:W3)</f>
        <v>255</v>
      </c>
      <c r="Y3" t="s">
        <v>4</v>
      </c>
      <c r="Z3">
        <v>99</v>
      </c>
      <c r="AA3">
        <v>81</v>
      </c>
      <c r="AB3">
        <v>93</v>
      </c>
      <c r="AC3">
        <v>0</v>
      </c>
      <c r="AD3" s="5">
        <f>SUM(Z3:AC3)</f>
        <v>273</v>
      </c>
      <c r="AE3" t="s">
        <v>4</v>
      </c>
      <c r="AF3">
        <v>102</v>
      </c>
      <c r="AG3">
        <v>84</v>
      </c>
      <c r="AH3">
        <v>96</v>
      </c>
      <c r="AI3">
        <v>0</v>
      </c>
      <c r="AJ3" s="5">
        <f>SUM(AF3:AI3)</f>
        <v>282</v>
      </c>
      <c r="AK3" t="s">
        <v>4</v>
      </c>
      <c r="AL3">
        <v>39</v>
      </c>
      <c r="AM3">
        <v>21</v>
      </c>
      <c r="AN3">
        <v>33</v>
      </c>
      <c r="AP3" s="5">
        <f>SUM(AL3:AO3)</f>
        <v>93</v>
      </c>
      <c r="AQ3" t="s">
        <v>4</v>
      </c>
      <c r="AR3">
        <v>99</v>
      </c>
      <c r="AS3">
        <v>81</v>
      </c>
      <c r="AT3">
        <v>93</v>
      </c>
      <c r="AV3" s="5">
        <f>SUM(AR3:AU3)</f>
        <v>273</v>
      </c>
      <c r="AW3" t="s">
        <v>4</v>
      </c>
      <c r="AX3">
        <v>0</v>
      </c>
      <c r="AY3">
        <v>0</v>
      </c>
      <c r="AZ3">
        <v>0</v>
      </c>
      <c r="BA3">
        <v>0</v>
      </c>
      <c r="BB3" s="5">
        <f>SUM(AX3:BA3)</f>
        <v>0</v>
      </c>
      <c r="BC3" t="s">
        <v>4</v>
      </c>
      <c r="BH3" s="5">
        <f>SUM(BD3:BG3)</f>
        <v>0</v>
      </c>
      <c r="BI3" t="s">
        <v>4</v>
      </c>
      <c r="BM3">
        <v>288</v>
      </c>
      <c r="BN3" s="5">
        <f>SUM(BJ3:BM3)</f>
        <v>288</v>
      </c>
      <c r="BO3" t="s">
        <v>4</v>
      </c>
      <c r="BS3">
        <v>204</v>
      </c>
      <c r="BT3" s="5">
        <f>SUM(BP3:BS3)</f>
        <v>204</v>
      </c>
      <c r="BU3" t="s">
        <v>4</v>
      </c>
      <c r="BY3">
        <v>190</v>
      </c>
      <c r="BZ3" s="5">
        <f>SUM(BV3:BY3)</f>
        <v>190</v>
      </c>
      <c r="CA3" t="s">
        <v>4</v>
      </c>
      <c r="CF3" s="5">
        <f>SUM(CB3:CE3)</f>
        <v>0</v>
      </c>
      <c r="CG3" t="s">
        <v>4</v>
      </c>
      <c r="CK3">
        <v>240</v>
      </c>
      <c r="CL3" s="5">
        <f>SUM(CH3:CK3)</f>
        <v>240</v>
      </c>
      <c r="CM3" t="s">
        <v>4</v>
      </c>
      <c r="CQ3">
        <v>50</v>
      </c>
      <c r="CR3" s="5">
        <f>SUM(CN3:CQ3)</f>
        <v>50</v>
      </c>
      <c r="CS3" t="s">
        <v>4</v>
      </c>
      <c r="CW3">
        <v>291</v>
      </c>
      <c r="CX3" s="5">
        <f>SUM(CT3:CW3)</f>
        <v>291</v>
      </c>
      <c r="CY3" t="s">
        <v>4</v>
      </c>
      <c r="DD3" s="5">
        <f>SUM(CZ3:DC3)</f>
        <v>0</v>
      </c>
      <c r="DE3" t="s">
        <v>4</v>
      </c>
      <c r="DJ3" s="5">
        <f>SUM(DF3:DI3)</f>
        <v>0</v>
      </c>
      <c r="DK3" t="s">
        <v>4</v>
      </c>
      <c r="DO3">
        <v>315</v>
      </c>
      <c r="DP3" s="5">
        <f>SUM(DL3:DO3)</f>
        <v>315</v>
      </c>
      <c r="DQ3" t="s">
        <v>4</v>
      </c>
      <c r="DV3" s="5">
        <f>SUM(DR3:DU3)</f>
        <v>0</v>
      </c>
      <c r="DW3" t="s">
        <v>4</v>
      </c>
      <c r="EA3">
        <v>303</v>
      </c>
      <c r="EB3" s="5">
        <f>SUM(DX3:EA3)</f>
        <v>303</v>
      </c>
      <c r="EC3" t="s">
        <v>4</v>
      </c>
      <c r="EG3">
        <v>276</v>
      </c>
      <c r="EH3" s="5">
        <f>SUM(ED3:EG3)</f>
        <v>276</v>
      </c>
      <c r="EI3" t="s">
        <v>4</v>
      </c>
      <c r="EM3">
        <v>324</v>
      </c>
      <c r="EN3" s="5">
        <f>SUM(EJ3:EM3)</f>
        <v>324</v>
      </c>
      <c r="EO3" s="5">
        <f>SUM(E3,K3,Q3,W3,AC3,AI3,AO3,AU3,BA3,BG3,BM3,BS3,BY3,CE3,CK3,CQ3,CW3,DC3,DI3,DO3,DU3,EA3,EG3,EM3,)</f>
        <v>3048</v>
      </c>
      <c r="EP3" s="5">
        <f t="shared" ref="EP3:EP8" si="0">SUM(B3,H3,N3,T3,Z3,AF3,AL3,AR3,AX3,BD3,BJ3,BP3,BV3,CB3,CH3,CN3,CT3,CZ3,DF3,DL3,DR3,DX3,ED3,EJ3,)</f>
        <v>528</v>
      </c>
      <c r="EQ3" s="5">
        <f t="shared" ref="EQ3:EQ8" si="1">SUM(C3,I3,O3,U3,AA3,AG3,AM3,AS3,AY3,BE3,BK3,BQ3,BW3,CC3,CI3,CO3,CU3,DA3,DG3,DM3,DS3,DY3,EE3,EK3,)</f>
        <v>420</v>
      </c>
      <c r="ER3" s="5">
        <f t="shared" ref="ER3:ER8" si="2">SUM(D3,J3,P3,V3,AB3,AH3,AN3,AT3,AZ3,BF3,BL3,BR3,BX3,CD3,CJ3,CP3,CV3,DB3,DH3,DN3,DT3,DZ3,EF3,EL3,)</f>
        <v>492</v>
      </c>
    </row>
    <row r="4" spans="1:148" x14ac:dyDescent="0.35">
      <c r="A4" t="s">
        <v>5</v>
      </c>
      <c r="B4">
        <v>0</v>
      </c>
      <c r="C4">
        <v>0</v>
      </c>
      <c r="D4">
        <v>0</v>
      </c>
      <c r="E4">
        <v>240</v>
      </c>
      <c r="F4" s="5">
        <f>SUM(B4:E4)</f>
        <v>240</v>
      </c>
      <c r="G4" t="s">
        <v>5</v>
      </c>
      <c r="H4">
        <v>0</v>
      </c>
      <c r="I4">
        <v>0</v>
      </c>
      <c r="J4">
        <v>0</v>
      </c>
      <c r="K4">
        <v>300</v>
      </c>
      <c r="L4" s="5">
        <f>SUM(H4:K4)</f>
        <v>300</v>
      </c>
      <c r="M4" t="s">
        <v>5</v>
      </c>
      <c r="N4">
        <v>102</v>
      </c>
      <c r="O4">
        <v>84</v>
      </c>
      <c r="P4">
        <v>96</v>
      </c>
      <c r="Q4">
        <v>0</v>
      </c>
      <c r="R4" s="5">
        <f>SUM(N4:Q4)</f>
        <v>282</v>
      </c>
      <c r="S4" t="s">
        <v>5</v>
      </c>
      <c r="T4">
        <v>96</v>
      </c>
      <c r="U4">
        <v>78</v>
      </c>
      <c r="V4">
        <v>90</v>
      </c>
      <c r="W4">
        <v>0</v>
      </c>
      <c r="X4" s="5">
        <f>SUM(T4:W4)</f>
        <v>264</v>
      </c>
      <c r="Y4" t="s">
        <v>5</v>
      </c>
      <c r="Z4">
        <v>93</v>
      </c>
      <c r="AA4">
        <v>75</v>
      </c>
      <c r="AB4">
        <v>87</v>
      </c>
      <c r="AC4">
        <v>0</v>
      </c>
      <c r="AD4" s="5">
        <f>SUM(Z4:AC4)</f>
        <v>255</v>
      </c>
      <c r="AE4" t="s">
        <v>5</v>
      </c>
      <c r="AF4">
        <v>0</v>
      </c>
      <c r="AG4">
        <v>0</v>
      </c>
      <c r="AH4">
        <v>0</v>
      </c>
      <c r="AI4">
        <v>0</v>
      </c>
      <c r="AJ4" s="5">
        <f>SUM(AF4:AI4)</f>
        <v>0</v>
      </c>
      <c r="AK4" t="s">
        <v>5</v>
      </c>
      <c r="AP4" s="5">
        <f>SUM(AL4:AO4)</f>
        <v>0</v>
      </c>
      <c r="AQ4" t="s">
        <v>5</v>
      </c>
      <c r="AR4">
        <v>69</v>
      </c>
      <c r="AS4">
        <v>54</v>
      </c>
      <c r="AT4">
        <v>63</v>
      </c>
      <c r="AV4" s="5">
        <f>SUM(AR4:AU4)</f>
        <v>186</v>
      </c>
      <c r="AW4" t="s">
        <v>5</v>
      </c>
      <c r="BB4" s="5">
        <f>SUM(AX4:BA4)</f>
        <v>0</v>
      </c>
      <c r="BC4" t="s">
        <v>5</v>
      </c>
      <c r="BH4" s="5">
        <f>SUM(BD4:BG4)</f>
        <v>0</v>
      </c>
      <c r="BI4" t="s">
        <v>5</v>
      </c>
      <c r="BM4">
        <v>282</v>
      </c>
      <c r="BN4" s="5">
        <f>SUM(BJ4:BM4)</f>
        <v>282</v>
      </c>
      <c r="BO4" t="s">
        <v>5</v>
      </c>
      <c r="BS4">
        <v>250</v>
      </c>
      <c r="BT4" s="5">
        <f>SUM(BP4:BS4)</f>
        <v>250</v>
      </c>
      <c r="BU4" t="s">
        <v>5</v>
      </c>
      <c r="BY4">
        <v>150</v>
      </c>
      <c r="BZ4" s="5">
        <f>SUM(BV4:BY4)</f>
        <v>150</v>
      </c>
      <c r="CA4" t="s">
        <v>5</v>
      </c>
      <c r="CF4" s="5">
        <f>SUM(CB4:CE4)</f>
        <v>0</v>
      </c>
      <c r="CG4" t="s">
        <v>5</v>
      </c>
      <c r="CK4">
        <v>290</v>
      </c>
      <c r="CL4" s="5">
        <f>SUM(CH4:CK4)</f>
        <v>290</v>
      </c>
      <c r="CM4" t="s">
        <v>5</v>
      </c>
      <c r="CQ4">
        <v>270</v>
      </c>
      <c r="CR4" s="5">
        <f>SUM(CN4:CQ4)</f>
        <v>270</v>
      </c>
      <c r="CS4" t="s">
        <v>5</v>
      </c>
      <c r="CW4">
        <v>288</v>
      </c>
      <c r="CX4" s="5">
        <f>SUM(CT4:CW4)</f>
        <v>288</v>
      </c>
      <c r="CY4" t="s">
        <v>5</v>
      </c>
      <c r="DD4" s="5">
        <f>SUM(CZ4:DC4)</f>
        <v>0</v>
      </c>
      <c r="DE4" t="s">
        <v>5</v>
      </c>
      <c r="DJ4" s="5">
        <f>SUM(DF4:DI4)</f>
        <v>0</v>
      </c>
      <c r="DK4" t="s">
        <v>5</v>
      </c>
      <c r="DO4">
        <v>329</v>
      </c>
      <c r="DP4" s="5">
        <f>SUM(DL4:DO4)</f>
        <v>329</v>
      </c>
      <c r="DQ4" t="s">
        <v>5</v>
      </c>
      <c r="DU4">
        <v>270</v>
      </c>
      <c r="DV4" s="5">
        <f>SUM(DR4:DU4)</f>
        <v>270</v>
      </c>
      <c r="DW4" t="s">
        <v>5</v>
      </c>
      <c r="EA4">
        <v>210</v>
      </c>
      <c r="EB4" s="5">
        <f>SUM(DX4:EA4)</f>
        <v>210</v>
      </c>
      <c r="EC4" t="s">
        <v>5</v>
      </c>
      <c r="EG4">
        <v>300</v>
      </c>
      <c r="EH4" s="5">
        <f>SUM(ED4:EG4)</f>
        <v>300</v>
      </c>
      <c r="EI4" t="s">
        <v>5</v>
      </c>
      <c r="EM4">
        <v>270</v>
      </c>
      <c r="EN4" s="5">
        <f>SUM(EJ4:EM4)</f>
        <v>270</v>
      </c>
      <c r="EO4" s="5">
        <f>SUM(E4,K4,Q4,W4,AC4,AI4,AO4,AU4,BA4,BG4,BM4,BS4,BY4,CE4,CK4,CQ4,CW4,DC4,DI4,DO4,DU4,EA4,EG4,EM4,)</f>
        <v>3449</v>
      </c>
      <c r="EP4" s="5">
        <f t="shared" si="0"/>
        <v>360</v>
      </c>
      <c r="EQ4" s="5">
        <f t="shared" si="1"/>
        <v>291</v>
      </c>
      <c r="ER4" s="5">
        <f t="shared" si="2"/>
        <v>336</v>
      </c>
    </row>
    <row r="5" spans="1:148" x14ac:dyDescent="0.35">
      <c r="A5" t="s">
        <v>6</v>
      </c>
      <c r="B5">
        <v>0</v>
      </c>
      <c r="C5">
        <v>0</v>
      </c>
      <c r="D5">
        <v>0</v>
      </c>
      <c r="E5">
        <v>282</v>
      </c>
      <c r="F5" s="5">
        <f>SUM(B5:E5)</f>
        <v>282</v>
      </c>
      <c r="G5" t="s">
        <v>6</v>
      </c>
      <c r="H5">
        <v>0</v>
      </c>
      <c r="I5">
        <v>0</v>
      </c>
      <c r="J5">
        <v>0</v>
      </c>
      <c r="K5">
        <v>180</v>
      </c>
      <c r="L5" s="5">
        <f>SUM(H5:K5)</f>
        <v>180</v>
      </c>
      <c r="M5" t="s">
        <v>6</v>
      </c>
      <c r="N5">
        <v>51</v>
      </c>
      <c r="O5">
        <v>36</v>
      </c>
      <c r="P5">
        <v>45</v>
      </c>
      <c r="Q5">
        <v>0</v>
      </c>
      <c r="R5" s="5">
        <f>SUM(N5:Q5)</f>
        <v>132</v>
      </c>
      <c r="S5" t="s">
        <v>6</v>
      </c>
      <c r="T5">
        <v>72</v>
      </c>
      <c r="U5">
        <v>57</v>
      </c>
      <c r="V5">
        <v>66</v>
      </c>
      <c r="W5">
        <v>0</v>
      </c>
      <c r="X5" s="5">
        <f>SUM(T5:W5)</f>
        <v>195</v>
      </c>
      <c r="Y5" t="s">
        <v>6</v>
      </c>
      <c r="Z5">
        <v>102</v>
      </c>
      <c r="AA5">
        <v>84</v>
      </c>
      <c r="AB5">
        <v>96</v>
      </c>
      <c r="AC5">
        <v>0</v>
      </c>
      <c r="AD5" s="5">
        <f>SUM(Z5:AC5)</f>
        <v>282</v>
      </c>
      <c r="AE5" t="s">
        <v>6</v>
      </c>
      <c r="AF5">
        <v>93</v>
      </c>
      <c r="AG5">
        <v>75</v>
      </c>
      <c r="AH5">
        <v>87</v>
      </c>
      <c r="AI5">
        <v>0</v>
      </c>
      <c r="AJ5" s="5">
        <f>SUM(AF5:AI5)</f>
        <v>255</v>
      </c>
      <c r="AK5" t="s">
        <v>6</v>
      </c>
      <c r="AP5" s="5">
        <f>SUM(AL5:AO5)</f>
        <v>0</v>
      </c>
      <c r="AQ5" t="s">
        <v>6</v>
      </c>
      <c r="AR5">
        <v>87</v>
      </c>
      <c r="AS5">
        <v>69</v>
      </c>
      <c r="AT5">
        <v>81</v>
      </c>
      <c r="AV5" s="5">
        <f>SUM(AR5:AU5)</f>
        <v>237</v>
      </c>
      <c r="AW5" t="s">
        <v>6</v>
      </c>
      <c r="BB5" s="5">
        <f>SUM(AX5:BA5)</f>
        <v>0</v>
      </c>
      <c r="BC5" t="s">
        <v>6</v>
      </c>
      <c r="BD5">
        <v>102</v>
      </c>
      <c r="BE5">
        <v>84</v>
      </c>
      <c r="BF5">
        <v>96</v>
      </c>
      <c r="BH5" s="5">
        <f>SUM(BD5:BG5)</f>
        <v>282</v>
      </c>
      <c r="BI5" t="s">
        <v>6</v>
      </c>
      <c r="BM5">
        <v>306</v>
      </c>
      <c r="BN5" s="5">
        <f>SUM(BJ5:BM5)</f>
        <v>306</v>
      </c>
      <c r="BO5" t="s">
        <v>6</v>
      </c>
      <c r="BS5">
        <v>288</v>
      </c>
      <c r="BT5" s="5">
        <f>SUM(BP5:BS5)</f>
        <v>288</v>
      </c>
      <c r="BU5" t="s">
        <v>6</v>
      </c>
      <c r="BY5">
        <v>288</v>
      </c>
      <c r="BZ5" s="5">
        <f>SUM(BV5:BY5)</f>
        <v>288</v>
      </c>
      <c r="CA5" t="s">
        <v>6</v>
      </c>
      <c r="CF5" s="5">
        <f>SUM(CB5:CE5)</f>
        <v>0</v>
      </c>
      <c r="CG5" t="s">
        <v>6</v>
      </c>
      <c r="CK5">
        <v>288</v>
      </c>
      <c r="CL5" s="5">
        <f>SUM(CH5:CK5)</f>
        <v>288</v>
      </c>
      <c r="CM5" t="s">
        <v>6</v>
      </c>
      <c r="CR5" s="5">
        <f>SUM(CN5:CQ5)</f>
        <v>0</v>
      </c>
      <c r="CS5" t="s">
        <v>6</v>
      </c>
      <c r="CW5">
        <v>294</v>
      </c>
      <c r="CX5" s="5">
        <f>SUM(CT5:CW5)</f>
        <v>294</v>
      </c>
      <c r="CY5" t="s">
        <v>6</v>
      </c>
      <c r="DD5" s="5">
        <f>SUM(CZ5:DC5)</f>
        <v>0</v>
      </c>
      <c r="DE5" t="s">
        <v>6</v>
      </c>
      <c r="DJ5" s="5">
        <f>SUM(DF5:DI5)</f>
        <v>0</v>
      </c>
      <c r="DK5" t="s">
        <v>6</v>
      </c>
      <c r="DO5">
        <v>220</v>
      </c>
      <c r="DP5" s="5">
        <f>SUM(DL5:DO5)</f>
        <v>220</v>
      </c>
      <c r="DQ5" t="s">
        <v>6</v>
      </c>
      <c r="DU5">
        <v>294</v>
      </c>
      <c r="DV5" s="5">
        <f>SUM(DR5:DU5)</f>
        <v>294</v>
      </c>
      <c r="DW5" t="s">
        <v>6</v>
      </c>
      <c r="EB5" s="5">
        <f>SUM(DX5:EA5)</f>
        <v>0</v>
      </c>
      <c r="EC5" t="s">
        <v>6</v>
      </c>
      <c r="EG5">
        <v>290</v>
      </c>
      <c r="EH5" s="5">
        <f>SUM(ED5:EG5)</f>
        <v>290</v>
      </c>
      <c r="EI5" t="s">
        <v>6</v>
      </c>
      <c r="EN5" s="5">
        <f>SUM(EJ5:EM5)</f>
        <v>0</v>
      </c>
      <c r="EO5" s="5">
        <f>SUM(E5,K5,Q5,W5,AC5,AI5,AO5,AU5,BA5,BG5,BM5,BS5,BY5,CE5,CK5,CQ5,CW5,DC5,DI5,DO5,DU5,EA5,EG5,EM5,)</f>
        <v>2730</v>
      </c>
      <c r="EP5" s="5">
        <f t="shared" si="0"/>
        <v>507</v>
      </c>
      <c r="EQ5" s="5">
        <f t="shared" si="1"/>
        <v>405</v>
      </c>
      <c r="ER5" s="5">
        <f t="shared" si="2"/>
        <v>471</v>
      </c>
    </row>
    <row r="6" spans="1:148" x14ac:dyDescent="0.35">
      <c r="A6" t="s">
        <v>7</v>
      </c>
      <c r="B6">
        <v>0</v>
      </c>
      <c r="C6">
        <v>0</v>
      </c>
      <c r="D6">
        <v>0</v>
      </c>
      <c r="E6">
        <v>288</v>
      </c>
      <c r="F6" s="5">
        <f>SUM(B6:E6)</f>
        <v>288</v>
      </c>
      <c r="G6" t="s">
        <v>7</v>
      </c>
      <c r="H6">
        <v>0</v>
      </c>
      <c r="I6">
        <v>0</v>
      </c>
      <c r="J6">
        <v>0</v>
      </c>
      <c r="K6">
        <v>261</v>
      </c>
      <c r="L6" s="5">
        <f>SUM(H6:K6)</f>
        <v>261</v>
      </c>
      <c r="M6" t="s">
        <v>7</v>
      </c>
      <c r="R6" s="5">
        <f>SUM(N6:Q6)</f>
        <v>0</v>
      </c>
      <c r="S6" t="s">
        <v>7</v>
      </c>
      <c r="T6">
        <v>0</v>
      </c>
      <c r="U6">
        <v>0</v>
      </c>
      <c r="V6">
        <v>0</v>
      </c>
      <c r="W6">
        <v>0</v>
      </c>
      <c r="X6" s="5">
        <f>SUM(T6:W6)</f>
        <v>0</v>
      </c>
      <c r="Y6" t="s">
        <v>7</v>
      </c>
      <c r="Z6">
        <v>105</v>
      </c>
      <c r="AA6">
        <v>87</v>
      </c>
      <c r="AB6">
        <v>99</v>
      </c>
      <c r="AC6">
        <v>0</v>
      </c>
      <c r="AD6" s="5">
        <f>SUM(Z6:AC6)</f>
        <v>291</v>
      </c>
      <c r="AE6" t="s">
        <v>7</v>
      </c>
      <c r="AF6">
        <v>99</v>
      </c>
      <c r="AG6">
        <v>81</v>
      </c>
      <c r="AH6">
        <v>93</v>
      </c>
      <c r="AI6">
        <v>0</v>
      </c>
      <c r="AJ6" s="5">
        <f>SUM(AF6:AI6)</f>
        <v>273</v>
      </c>
      <c r="AK6" t="s">
        <v>7</v>
      </c>
      <c r="AP6" s="5">
        <f>SUM(AL6:AO6)</f>
        <v>0</v>
      </c>
      <c r="AQ6" t="s">
        <v>7</v>
      </c>
      <c r="AR6">
        <v>96</v>
      </c>
      <c r="AS6">
        <v>78</v>
      </c>
      <c r="AT6">
        <v>90</v>
      </c>
      <c r="AV6" s="5">
        <f>SUM(AR6:AU6)</f>
        <v>264</v>
      </c>
      <c r="AW6" t="s">
        <v>7</v>
      </c>
      <c r="BB6" s="5">
        <f>SUM(AX6:BA6)</f>
        <v>0</v>
      </c>
      <c r="BC6" t="s">
        <v>7</v>
      </c>
      <c r="BD6">
        <v>99</v>
      </c>
      <c r="BE6">
        <v>81</v>
      </c>
      <c r="BF6">
        <v>93</v>
      </c>
      <c r="BH6" s="5">
        <f>SUM(BD6:BG6)</f>
        <v>273</v>
      </c>
      <c r="BI6" t="s">
        <v>7</v>
      </c>
      <c r="BM6">
        <v>300</v>
      </c>
      <c r="BN6" s="5">
        <f>SUM(BJ6:BM6)</f>
        <v>300</v>
      </c>
      <c r="BO6" t="s">
        <v>7</v>
      </c>
      <c r="BS6">
        <v>80</v>
      </c>
      <c r="BT6" s="5">
        <f>SUM(BP6:BS6)</f>
        <v>80</v>
      </c>
      <c r="BU6" t="s">
        <v>7</v>
      </c>
      <c r="BY6">
        <v>255</v>
      </c>
      <c r="BZ6" s="5">
        <f>SUM(BV6:BY6)</f>
        <v>255</v>
      </c>
      <c r="CA6" t="s">
        <v>7</v>
      </c>
      <c r="CF6" s="5">
        <f>SUM(CB6:CE6)</f>
        <v>0</v>
      </c>
      <c r="CG6" t="s">
        <v>7</v>
      </c>
      <c r="CK6">
        <v>300</v>
      </c>
      <c r="CL6" s="5">
        <f>SUM(CH6:CK6)</f>
        <v>300</v>
      </c>
      <c r="CM6" t="s">
        <v>7</v>
      </c>
      <c r="CR6" s="5">
        <f>SUM(CN6:CQ6)</f>
        <v>0</v>
      </c>
      <c r="CS6" t="s">
        <v>7</v>
      </c>
      <c r="CX6" s="5">
        <f>SUM(CT6:CW6)</f>
        <v>0</v>
      </c>
      <c r="CY6" t="s">
        <v>7</v>
      </c>
      <c r="DD6" s="5">
        <f>SUM(CZ6:DC6)</f>
        <v>0</v>
      </c>
      <c r="DE6" t="s">
        <v>7</v>
      </c>
      <c r="DJ6" s="5">
        <f>SUM(DF6:DI6)</f>
        <v>0</v>
      </c>
      <c r="DK6" t="s">
        <v>7</v>
      </c>
      <c r="DO6">
        <v>171</v>
      </c>
      <c r="DP6" s="5">
        <f>SUM(DL6:DO6)</f>
        <v>171</v>
      </c>
      <c r="DQ6" t="s">
        <v>7</v>
      </c>
      <c r="DU6">
        <v>252</v>
      </c>
      <c r="DV6" s="5">
        <f>SUM(DR6:DU6)</f>
        <v>252</v>
      </c>
      <c r="DW6" t="s">
        <v>7</v>
      </c>
      <c r="EA6">
        <v>315</v>
      </c>
      <c r="EB6" s="5">
        <f>SUM(DX6:EA6)</f>
        <v>315</v>
      </c>
      <c r="EC6" t="s">
        <v>7</v>
      </c>
      <c r="EH6" s="5">
        <f>SUM(ED6:EG6)</f>
        <v>0</v>
      </c>
      <c r="EI6" t="s">
        <v>7</v>
      </c>
      <c r="EN6" s="5">
        <f>SUM(EJ6:EM6)</f>
        <v>0</v>
      </c>
      <c r="EO6" s="5">
        <f>SUM(E6,K6,Q6,W6,AC6,AI6,AO6,AU6,BA6,BG6,BM6,BS6,BY6,CE6,CK6,CQ6,CW6,DC6,DI6,DO6,DU6,EA6,EG6,EM6,)</f>
        <v>2222</v>
      </c>
      <c r="EP6" s="5">
        <f t="shared" si="0"/>
        <v>399</v>
      </c>
      <c r="EQ6" s="5">
        <f t="shared" si="1"/>
        <v>327</v>
      </c>
      <c r="ER6" s="5">
        <f t="shared" si="2"/>
        <v>375</v>
      </c>
    </row>
    <row r="7" spans="1:148" x14ac:dyDescent="0.35">
      <c r="A7" t="s">
        <v>8</v>
      </c>
      <c r="B7">
        <v>0</v>
      </c>
      <c r="C7">
        <v>0</v>
      </c>
      <c r="D7">
        <v>0</v>
      </c>
      <c r="E7">
        <v>0</v>
      </c>
      <c r="F7" s="5">
        <f>SUM(B7:E7)</f>
        <v>0</v>
      </c>
      <c r="G7" t="s">
        <v>8</v>
      </c>
      <c r="H7">
        <v>0</v>
      </c>
      <c r="I7">
        <v>0</v>
      </c>
      <c r="J7">
        <v>0</v>
      </c>
      <c r="K7">
        <v>0</v>
      </c>
      <c r="L7" s="5">
        <f>SUM(H7:K7)</f>
        <v>0</v>
      </c>
      <c r="M7" t="s">
        <v>8</v>
      </c>
      <c r="R7" s="5">
        <f>SUM(N7:Q7)</f>
        <v>0</v>
      </c>
      <c r="S7" t="s">
        <v>8</v>
      </c>
      <c r="T7">
        <v>90</v>
      </c>
      <c r="U7">
        <v>72</v>
      </c>
      <c r="V7">
        <v>84</v>
      </c>
      <c r="W7">
        <v>0</v>
      </c>
      <c r="X7" s="5">
        <f>SUM(T7:W7)</f>
        <v>246</v>
      </c>
      <c r="Y7" t="s">
        <v>8</v>
      </c>
      <c r="AD7" s="5">
        <f>SUM(Z7:AC7)</f>
        <v>0</v>
      </c>
      <c r="AE7" t="s">
        <v>8</v>
      </c>
      <c r="AJ7" s="5">
        <f>SUM(AF7:AI7)</f>
        <v>0</v>
      </c>
      <c r="AK7" t="s">
        <v>8</v>
      </c>
      <c r="AP7" s="5">
        <f>SUM(AL7:AO7)</f>
        <v>0</v>
      </c>
      <c r="AQ7" t="s">
        <v>8</v>
      </c>
      <c r="AR7">
        <v>93</v>
      </c>
      <c r="AS7">
        <v>75</v>
      </c>
      <c r="AT7">
        <v>87</v>
      </c>
      <c r="AV7" s="5">
        <f>SUM(AR7:AU7)</f>
        <v>255</v>
      </c>
      <c r="AW7" t="s">
        <v>8</v>
      </c>
      <c r="AY7" s="13"/>
      <c r="BB7" s="5">
        <f>SUM(AX7:BA7)</f>
        <v>0</v>
      </c>
      <c r="BC7" t="s">
        <v>8</v>
      </c>
      <c r="BH7" s="5">
        <f>SUM(BD7:BG7)</f>
        <v>0</v>
      </c>
      <c r="BI7" t="s">
        <v>8</v>
      </c>
      <c r="BM7">
        <v>225</v>
      </c>
      <c r="BN7" s="5">
        <f>SUM(BJ7:BM7)</f>
        <v>225</v>
      </c>
      <c r="BO7" t="s">
        <v>8</v>
      </c>
      <c r="BT7" s="5">
        <f>SUM(BP7:BS7)</f>
        <v>0</v>
      </c>
      <c r="BU7" t="s">
        <v>8</v>
      </c>
      <c r="BZ7" s="5">
        <f>SUM(BV7:BY7)</f>
        <v>0</v>
      </c>
      <c r="CA7" t="s">
        <v>8</v>
      </c>
      <c r="CF7" s="5">
        <f>SUM(CB7:CE7)</f>
        <v>0</v>
      </c>
      <c r="CG7" t="s">
        <v>8</v>
      </c>
      <c r="CK7">
        <v>290</v>
      </c>
      <c r="CL7" s="5">
        <f>SUM(CH7:CK7)</f>
        <v>290</v>
      </c>
      <c r="CM7" t="s">
        <v>8</v>
      </c>
      <c r="CR7" s="5">
        <f>SUM(CN7:CQ7)</f>
        <v>0</v>
      </c>
      <c r="CS7" t="s">
        <v>8</v>
      </c>
      <c r="CX7" s="5">
        <f>SUM(CT7:CW7)</f>
        <v>0</v>
      </c>
      <c r="CY7" t="s">
        <v>8</v>
      </c>
      <c r="DD7" s="5">
        <f>SUM(CZ7:DC7)</f>
        <v>0</v>
      </c>
      <c r="DE7" t="s">
        <v>8</v>
      </c>
      <c r="DJ7" s="5">
        <f>SUM(DF7:DI7)</f>
        <v>0</v>
      </c>
      <c r="DK7" t="s">
        <v>8</v>
      </c>
      <c r="DP7" s="5">
        <f>SUM(DL7:DO7)</f>
        <v>0</v>
      </c>
      <c r="DQ7" t="s">
        <v>8</v>
      </c>
      <c r="DU7">
        <v>249</v>
      </c>
      <c r="DV7" s="5">
        <f>SUM(DR7:DU7)</f>
        <v>249</v>
      </c>
      <c r="DW7" t="s">
        <v>8</v>
      </c>
      <c r="EA7">
        <v>300</v>
      </c>
      <c r="EB7" s="5">
        <f>SUM(DX7:EA7)</f>
        <v>300</v>
      </c>
      <c r="EC7" t="s">
        <v>8</v>
      </c>
      <c r="EG7">
        <v>300</v>
      </c>
      <c r="EH7" s="5">
        <f>SUM(ED7:EG7)</f>
        <v>300</v>
      </c>
      <c r="EI7" t="s">
        <v>8</v>
      </c>
      <c r="EN7" s="5">
        <f>SUM(EJ7:EM7)</f>
        <v>0</v>
      </c>
      <c r="EO7" s="5">
        <f>SUM(E7,K7,Q7,W7,AC7,AI7,AO7,AU7,BA7,BG7,BM7,BS7,BY7,CE7,CK7,CQ7,CW7,DC7,DI7,DO7,DU7,EA7,EG7,EM7,)</f>
        <v>1364</v>
      </c>
      <c r="EP7" s="5">
        <f t="shared" si="0"/>
        <v>183</v>
      </c>
      <c r="EQ7" s="5">
        <f t="shared" si="1"/>
        <v>147</v>
      </c>
      <c r="ER7" s="5">
        <f t="shared" si="2"/>
        <v>171</v>
      </c>
    </row>
    <row r="8" spans="1:148" x14ac:dyDescent="0.35">
      <c r="A8" s="1" t="s">
        <v>9</v>
      </c>
      <c r="B8" s="12">
        <f>SUM(B2:B7)</f>
        <v>0</v>
      </c>
      <c r="C8" s="12">
        <f>SUM(C2:C7)</f>
        <v>0</v>
      </c>
      <c r="D8" s="12">
        <f>SUM(D2:D7)</f>
        <v>0</v>
      </c>
      <c r="E8" s="12">
        <f>SUM(E2:E7)</f>
        <v>1389</v>
      </c>
      <c r="F8" s="1"/>
      <c r="G8" s="1" t="s">
        <v>9</v>
      </c>
      <c r="H8" s="12">
        <f>SUM(H2:H7)</f>
        <v>0</v>
      </c>
      <c r="I8" s="12">
        <f>SUM(I2:I7)</f>
        <v>0</v>
      </c>
      <c r="J8" s="12">
        <f>SUM(J2:J7)</f>
        <v>0</v>
      </c>
      <c r="K8" s="12">
        <f>SUM(K2:K7)</f>
        <v>1017</v>
      </c>
      <c r="L8" s="1"/>
      <c r="M8" s="1" t="s">
        <v>9</v>
      </c>
      <c r="N8" s="12">
        <f>SUM(N2:N7)</f>
        <v>333</v>
      </c>
      <c r="O8" s="12">
        <f>SUM(O2:O7)</f>
        <v>267</v>
      </c>
      <c r="P8" s="12">
        <f>SUM(P2:P7)</f>
        <v>309</v>
      </c>
      <c r="Q8" s="12">
        <f>SUM(Q2:Q7)</f>
        <v>0</v>
      </c>
      <c r="R8" s="12"/>
      <c r="S8" s="1" t="s">
        <v>9</v>
      </c>
      <c r="T8" s="12">
        <f>SUM(T2:T7)</f>
        <v>450</v>
      </c>
      <c r="U8" s="12">
        <f>SUM(U2:U7)</f>
        <v>363</v>
      </c>
      <c r="V8" s="12">
        <f>SUM(V2:V7)</f>
        <v>420</v>
      </c>
      <c r="W8" s="12">
        <f>SUM(W2:W7)</f>
        <v>0</v>
      </c>
      <c r="X8" s="12"/>
      <c r="Y8" s="1" t="s">
        <v>9</v>
      </c>
      <c r="Z8" s="12">
        <f>SUM(Z2:Z7)</f>
        <v>501</v>
      </c>
      <c r="AA8" s="12">
        <f>SUM(AA2:AA7)</f>
        <v>411</v>
      </c>
      <c r="AB8" s="12">
        <f>SUM(AB2:AB7)</f>
        <v>471</v>
      </c>
      <c r="AC8" s="12">
        <f>SUM(AC2:AC7)</f>
        <v>0</v>
      </c>
      <c r="AD8" s="12"/>
      <c r="AE8" s="1" t="s">
        <v>9</v>
      </c>
      <c r="AF8" s="12">
        <f>SUM(AF2:AF7)</f>
        <v>393</v>
      </c>
      <c r="AG8" s="12">
        <f>SUM(AG2:AG7)</f>
        <v>321</v>
      </c>
      <c r="AH8" s="12">
        <f>SUM(AH2:AH7)</f>
        <v>369</v>
      </c>
      <c r="AI8" s="12">
        <f>SUM(AI2:AI7)</f>
        <v>0</v>
      </c>
      <c r="AJ8" s="1"/>
      <c r="AK8" s="1" t="s">
        <v>9</v>
      </c>
      <c r="AL8" s="12">
        <f>SUM(AL2:AL7)</f>
        <v>132</v>
      </c>
      <c r="AM8" s="12">
        <f>SUM(AM2:AM7)</f>
        <v>96</v>
      </c>
      <c r="AN8" s="12">
        <f>SUM(AN2:AN7)</f>
        <v>120</v>
      </c>
      <c r="AO8" s="12">
        <f>SUM(AO2:AO7)</f>
        <v>0</v>
      </c>
      <c r="AP8" s="1"/>
      <c r="AQ8" s="1" t="s">
        <v>9</v>
      </c>
      <c r="AR8" s="12">
        <f>SUM(AR2:AR7)</f>
        <v>510</v>
      </c>
      <c r="AS8" s="12">
        <f>SUM(AS2:AS7)</f>
        <v>408</v>
      </c>
      <c r="AT8" s="12">
        <f>SUM(AT2:AT7)</f>
        <v>474</v>
      </c>
      <c r="AU8" s="12">
        <f>SUM(AU2:AU7)</f>
        <v>0</v>
      </c>
      <c r="AV8" s="1"/>
      <c r="AW8" s="1" t="s">
        <v>9</v>
      </c>
      <c r="AX8" s="12">
        <f>SUM(AX2:AX7)</f>
        <v>90</v>
      </c>
      <c r="AY8" s="12">
        <f>SUM(AY2:AY7)</f>
        <v>72</v>
      </c>
      <c r="AZ8" s="12">
        <f>SUM(AZ2:AZ7)</f>
        <v>84</v>
      </c>
      <c r="BA8" s="12">
        <f>SUM(BA2:BA7)</f>
        <v>0</v>
      </c>
      <c r="BB8" s="1"/>
      <c r="BC8" s="1" t="s">
        <v>9</v>
      </c>
      <c r="BD8" s="12">
        <f>SUM(BD2:BD7)</f>
        <v>201</v>
      </c>
      <c r="BE8" s="12">
        <f>SUM(BE2:BE7)</f>
        <v>165</v>
      </c>
      <c r="BF8" s="12">
        <f>SUM(BF2:BF7)</f>
        <v>189</v>
      </c>
      <c r="BG8" s="12">
        <f>SUM(BG2:BG7)</f>
        <v>0</v>
      </c>
      <c r="BH8" s="1"/>
      <c r="BI8" s="1" t="s">
        <v>9</v>
      </c>
      <c r="BJ8" s="12">
        <f>SUM(BJ2:BJ7)</f>
        <v>0</v>
      </c>
      <c r="BK8" s="12">
        <f>SUM(BK2:BK7)</f>
        <v>0</v>
      </c>
      <c r="BL8" s="12">
        <f>SUM(BL2:BL7)</f>
        <v>0</v>
      </c>
      <c r="BM8" s="12">
        <f>SUM(BM2:BM7)</f>
        <v>1671</v>
      </c>
      <c r="BN8" s="1"/>
      <c r="BO8" s="1" t="s">
        <v>9</v>
      </c>
      <c r="BP8" s="12">
        <f>SUM(BP2:BP7)</f>
        <v>0</v>
      </c>
      <c r="BQ8" s="12">
        <f>SUM(BQ2:BQ7)</f>
        <v>0</v>
      </c>
      <c r="BR8" s="12">
        <f>SUM(BR2:BR7)</f>
        <v>0</v>
      </c>
      <c r="BS8" s="12">
        <f>SUM(BS2:BS7)</f>
        <v>1062</v>
      </c>
      <c r="BT8" s="1"/>
      <c r="BU8" s="1" t="s">
        <v>9</v>
      </c>
      <c r="BV8" s="12">
        <f>SUM(BV2:BV7)</f>
        <v>0</v>
      </c>
      <c r="BW8" s="12">
        <f>SUM(BW2:BW7)</f>
        <v>0</v>
      </c>
      <c r="BX8" s="12">
        <f>SUM(BX2:BX7)</f>
        <v>0</v>
      </c>
      <c r="BY8" s="12">
        <f>SUM(BY2:BY7)</f>
        <v>1153</v>
      </c>
      <c r="BZ8" s="1"/>
      <c r="CA8" s="1" t="s">
        <v>9</v>
      </c>
      <c r="CB8" s="12">
        <f>SUM(CB2:CB7)</f>
        <v>0</v>
      </c>
      <c r="CC8" s="12">
        <f>SUM(CC2:CC7)</f>
        <v>0</v>
      </c>
      <c r="CD8" s="12">
        <f>SUM(CD2:CD7)</f>
        <v>0</v>
      </c>
      <c r="CE8" s="12">
        <f>SUM(CE2:CE7)</f>
        <v>0</v>
      </c>
      <c r="CF8" s="1"/>
      <c r="CG8" s="1" t="s">
        <v>9</v>
      </c>
      <c r="CH8" s="12">
        <f>SUM(CH2:CH7)</f>
        <v>0</v>
      </c>
      <c r="CI8" s="12">
        <f>SUM(CI2:CI7)</f>
        <v>0</v>
      </c>
      <c r="CJ8" s="12">
        <f>SUM(CJ2:CJ7)</f>
        <v>0</v>
      </c>
      <c r="CK8" s="12">
        <f>SUM(CK2:CK7)</f>
        <v>1504</v>
      </c>
      <c r="CL8" s="1"/>
      <c r="CM8" s="1" t="s">
        <v>9</v>
      </c>
      <c r="CN8" s="12">
        <f>SUM(CN2:CN7)</f>
        <v>0</v>
      </c>
      <c r="CO8" s="12">
        <f>SUM(CO2:CO7)</f>
        <v>0</v>
      </c>
      <c r="CP8" s="12">
        <f>SUM(CP2:CP7)</f>
        <v>0</v>
      </c>
      <c r="CQ8" s="12">
        <f>SUM(CQ2:CQ7)</f>
        <v>614</v>
      </c>
      <c r="CR8" s="1"/>
      <c r="CS8" s="1" t="s">
        <v>9</v>
      </c>
      <c r="CT8" s="12">
        <f>SUM(CT2:CT7)</f>
        <v>0</v>
      </c>
      <c r="CU8" s="12">
        <f>SUM(CU2:CU7)</f>
        <v>0</v>
      </c>
      <c r="CV8" s="12">
        <f>SUM(CV2:CV7)</f>
        <v>0</v>
      </c>
      <c r="CW8" s="12">
        <f>SUM(CW2:CW7)</f>
        <v>1077</v>
      </c>
      <c r="CX8" s="1"/>
      <c r="CY8" s="1" t="s">
        <v>9</v>
      </c>
      <c r="CZ8" s="12">
        <f>SUM(CZ2:CZ7)</f>
        <v>0</v>
      </c>
      <c r="DA8" s="12">
        <f>SUM(DA2:DA7)</f>
        <v>0</v>
      </c>
      <c r="DB8" s="12">
        <f>SUM(DB2:DB7)</f>
        <v>0</v>
      </c>
      <c r="DC8" s="12">
        <f>SUM(DC2:DC7)</f>
        <v>0</v>
      </c>
      <c r="DD8" s="1"/>
      <c r="DE8" s="1" t="s">
        <v>9</v>
      </c>
      <c r="DF8" s="12">
        <f>SUM(DF2:DF7)</f>
        <v>0</v>
      </c>
      <c r="DG8" s="12">
        <f>SUM(DG2:DG7)</f>
        <v>0</v>
      </c>
      <c r="DH8" s="12">
        <f>SUM(DH2:DH7)</f>
        <v>0</v>
      </c>
      <c r="DI8" s="12">
        <f>SUM(DI2:DI7)</f>
        <v>0</v>
      </c>
      <c r="DJ8" s="1"/>
      <c r="DK8" s="1" t="s">
        <v>9</v>
      </c>
      <c r="DL8" s="12">
        <f>SUM(DL2:DL7)</f>
        <v>0</v>
      </c>
      <c r="DM8" s="12">
        <f>SUM(DM2:DM7)</f>
        <v>0</v>
      </c>
      <c r="DN8" s="12">
        <f>SUM(DN2:DN7)</f>
        <v>0</v>
      </c>
      <c r="DO8" s="12">
        <f>SUM(DO2:DO7)</f>
        <v>1335</v>
      </c>
      <c r="DP8" s="1"/>
      <c r="DQ8" s="1" t="s">
        <v>9</v>
      </c>
      <c r="DR8" s="12">
        <f>SUM(DR2:DR7)</f>
        <v>0</v>
      </c>
      <c r="DS8" s="12">
        <f>SUM(DS2:DS7)</f>
        <v>0</v>
      </c>
      <c r="DT8" s="12">
        <f>SUM(DT2:DT7)</f>
        <v>0</v>
      </c>
      <c r="DU8" s="12">
        <f>SUM(DU2:DU7)</f>
        <v>1065</v>
      </c>
      <c r="DV8" s="1"/>
      <c r="DW8" s="1" t="s">
        <v>9</v>
      </c>
      <c r="DX8" s="12">
        <f>SUM(DX2:DX7)</f>
        <v>0</v>
      </c>
      <c r="DY8" s="12">
        <f>SUM(DY2:DY7)</f>
        <v>0</v>
      </c>
      <c r="DZ8" s="12">
        <f>SUM(DZ2:DZ7)</f>
        <v>0</v>
      </c>
      <c r="EA8" s="12">
        <f>SUM(EA2:EA7)</f>
        <v>1428</v>
      </c>
      <c r="EB8" s="1"/>
      <c r="EC8" s="1" t="s">
        <v>9</v>
      </c>
      <c r="ED8" s="12">
        <f>SUM(ED2:ED7)</f>
        <v>0</v>
      </c>
      <c r="EE8" s="12">
        <f>SUM(EE2:EE7)</f>
        <v>0</v>
      </c>
      <c r="EF8" s="12">
        <f>SUM(EF2:EF7)</f>
        <v>0</v>
      </c>
      <c r="EG8" s="12">
        <f>SUM(EG2:EG7)</f>
        <v>1476</v>
      </c>
      <c r="EH8" s="1"/>
      <c r="EI8" s="1" t="s">
        <v>9</v>
      </c>
      <c r="EJ8" s="12">
        <f>SUM(EJ2:EJ7)</f>
        <v>0</v>
      </c>
      <c r="EK8" s="12">
        <f>SUM(EK2:EK7)</f>
        <v>0</v>
      </c>
      <c r="EL8" s="12">
        <f>SUM(EL2:EL7)</f>
        <v>0</v>
      </c>
      <c r="EM8" s="12">
        <f>SUM(EM2:EM7)</f>
        <v>909</v>
      </c>
      <c r="EN8" s="1"/>
      <c r="EO8" s="12">
        <f>SUM(E8,K8,Q8,W8,AC8,AI8,AO8,AU8,BA8,BG8,BM8,BS8,BY8,CE8,CK8,CQ8,CW8,DC8,DI8,DO8,DU8,EA8,EG8,EM8,)</f>
        <v>15700</v>
      </c>
      <c r="EP8" s="1">
        <f t="shared" si="0"/>
        <v>2610</v>
      </c>
      <c r="EQ8" s="1">
        <f t="shared" si="1"/>
        <v>2103</v>
      </c>
      <c r="ER8" s="1">
        <f t="shared" si="2"/>
        <v>2436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0F2B-9576-44D6-BB64-68ECBF4117EB}">
  <sheetPr>
    <tabColor rgb="FF0070C0"/>
  </sheetPr>
  <dimension ref="A1"/>
  <sheetViews>
    <sheetView workbookViewId="0">
      <selection activeCell="S2" sqref="S2"/>
    </sheetView>
  </sheetViews>
  <sheetFormatPr defaultRowHeight="16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Prod-Issue out</vt:lpstr>
      <vt:lpstr>April-24sept</vt:lpstr>
      <vt:lpstr>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USER</cp:lastModifiedBy>
  <dcterms:created xsi:type="dcterms:W3CDTF">2026-04-13T06:21:12Z</dcterms:created>
  <dcterms:modified xsi:type="dcterms:W3CDTF">2026-09-24T12:45:28Z</dcterms:modified>
</cp:coreProperties>
</file>